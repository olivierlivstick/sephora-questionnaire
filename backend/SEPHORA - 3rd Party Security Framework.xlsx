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sephoraus.sharepoint.com/sites/ITSecurity-RisksMangementand3rdParties/Shared Documents/Risks Mangement and 3rd Parties/02_Partners/Livstick/"/>
    </mc:Choice>
  </mc:AlternateContent>
  <xr:revisionPtr revIDLastSave="5165" documentId="13_ncr:1_{1A9BF9B8-69EE-42CE-A130-2E839034655F}" xr6:coauthVersionLast="47" xr6:coauthVersionMax="47" xr10:uidLastSave="{D0F4FA42-A076-47C0-8C18-4F925706069F}"/>
  <bookViews>
    <workbookView xWindow="28695" yWindow="0" windowWidth="26010" windowHeight="20985" tabRatio="498" firstSheet="3" activeTab="4" xr2:uid="{00000000-000D-0000-FFFF-FFFF00000000}"/>
  </bookViews>
  <sheets>
    <sheet name="0 - Home" sheetId="4" state="hidden" r:id="rId1"/>
    <sheet name="1 - General description" sheetId="1" state="hidden" r:id="rId2"/>
    <sheet name="2 - Qualification" sheetId="2" state="hidden" r:id="rId3"/>
    <sheet name="3 - 3rd Party Security Policy" sheetId="8" r:id="rId4"/>
    <sheet name="4 - 3rd Party Assessment " sheetId="6" r:id="rId5"/>
    <sheet name="5 - Risk Assessment" sheetId="7" state="hidden" r:id="rId6"/>
    <sheet name="Paramètres" sheetId="9"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1" l="1"/>
  <c r="G57" i="1"/>
  <c r="G58" i="1"/>
  <c r="G61" i="1"/>
  <c r="E82" i="2" l="1"/>
  <c r="E81" i="2"/>
  <c r="E80" i="2"/>
  <c r="E79" i="2"/>
  <c r="E78" i="2"/>
  <c r="E77" i="2"/>
  <c r="E74" i="2"/>
  <c r="E73" i="2"/>
  <c r="I159" i="6" l="1"/>
  <c r="I176" i="6"/>
  <c r="C16" i="1"/>
  <c r="I101" i="6"/>
  <c r="K11" i="7"/>
  <c r="K10" i="7"/>
  <c r="L10" i="7" s="1"/>
  <c r="L9" i="7"/>
  <c r="K9" i="7"/>
  <c r="K8" i="7"/>
  <c r="L8" i="7" s="1"/>
  <c r="L7" i="7"/>
  <c r="K7" i="7"/>
  <c r="K6" i="7"/>
  <c r="L6" i="7" s="1"/>
  <c r="L5" i="7"/>
  <c r="K5" i="7"/>
  <c r="K4" i="7"/>
  <c r="L4" i="7" s="1"/>
  <c r="G60" i="1" l="1"/>
  <c r="D16" i="1" l="1"/>
  <c r="I85" i="6" l="1"/>
  <c r="J63" i="2"/>
  <c r="E76" i="2" s="1"/>
  <c r="G52" i="1"/>
  <c r="H52" i="1" s="1"/>
  <c r="I276" i="6" l="1"/>
  <c r="I255" i="6"/>
  <c r="F63" i="2" l="1"/>
  <c r="E75" i="2" s="1"/>
  <c r="G64" i="1"/>
  <c r="H61" i="1"/>
  <c r="H57" i="1"/>
  <c r="G63" i="1"/>
  <c r="H63" i="1" s="1"/>
  <c r="G62" i="1"/>
  <c r="H62" i="1" s="1"/>
  <c r="G59" i="1"/>
  <c r="H59" i="1" s="1"/>
  <c r="H58" i="1"/>
  <c r="H56" i="1"/>
  <c r="G55" i="1"/>
  <c r="H55" i="1" s="1"/>
  <c r="G54" i="1"/>
  <c r="H54" i="1" s="1"/>
  <c r="G53" i="1"/>
  <c r="H53" i="1" s="1"/>
  <c r="B16" i="1"/>
  <c r="H64" i="1" l="1"/>
  <c r="H60" i="1"/>
  <c r="K35" i="2"/>
  <c r="E69" i="2" a="1"/>
  <c r="E69" i="2" s="1"/>
  <c r="D61" i="2" l="1"/>
  <c r="J61" i="2" s="1"/>
  <c r="C63" i="2"/>
  <c r="C62" i="2" l="1"/>
  <c r="C64" i="2" l="1"/>
  <c r="F61" i="2" s="1"/>
  <c r="E72" i="2" l="1"/>
  <c r="E71" i="2" a="1"/>
  <c r="E71" i="2" s="1"/>
  <c r="E70" i="2"/>
  <c r="G51" i="1"/>
  <c r="H51" i="1" l="1"/>
  <c r="K41" i="8" s="1"/>
  <c r="K52" i="8" l="1"/>
  <c r="G52" i="8" s="1"/>
  <c r="G41" i="8"/>
  <c r="K50" i="8"/>
  <c r="G50" i="8" s="1"/>
  <c r="K49" i="8"/>
  <c r="G49" i="8" s="1"/>
  <c r="K58" i="8"/>
  <c r="G58" i="8" s="1"/>
  <c r="K9" i="8"/>
  <c r="G9" i="8" s="1"/>
  <c r="K56" i="8"/>
  <c r="G56" i="8" s="1"/>
  <c r="K18" i="8"/>
  <c r="G18" i="8" s="1"/>
  <c r="K35" i="8"/>
  <c r="G35" i="8" s="1"/>
  <c r="K39" i="8"/>
  <c r="G39" i="8" s="1"/>
  <c r="K15" i="8"/>
  <c r="G15" i="8" s="1"/>
  <c r="K19" i="8"/>
  <c r="G19" i="8" s="1"/>
  <c r="K17" i="8"/>
  <c r="G17" i="8" s="1"/>
  <c r="K29" i="8"/>
  <c r="G29" i="8" s="1"/>
  <c r="K53" i="8"/>
  <c r="G53" i="8" s="1"/>
  <c r="K5" i="8"/>
  <c r="G5" i="8" s="1"/>
  <c r="K27" i="8"/>
  <c r="G27" i="8" s="1"/>
  <c r="K38" i="8"/>
  <c r="G38" i="8" s="1"/>
  <c r="K3" i="8"/>
  <c r="G3" i="8" s="1"/>
  <c r="K10" i="8"/>
  <c r="G10" i="8" s="1"/>
  <c r="K16" i="8"/>
  <c r="G16" i="8" s="1"/>
  <c r="K55" i="8"/>
  <c r="G55" i="8" s="1"/>
  <c r="K24" i="8"/>
  <c r="G24" i="8" s="1"/>
  <c r="K48" i="8"/>
  <c r="G48" i="8" s="1"/>
  <c r="K14" i="8"/>
  <c r="G14" i="8" s="1"/>
  <c r="K28" i="8"/>
  <c r="G28" i="8" s="1"/>
  <c r="K59" i="8"/>
  <c r="G59" i="8" s="1"/>
  <c r="K36" i="8"/>
  <c r="G36" i="8" s="1"/>
  <c r="K37" i="8"/>
  <c r="G37" i="8" s="1"/>
  <c r="K44" i="8"/>
  <c r="G44" i="8" s="1"/>
  <c r="K12" i="8"/>
  <c r="G12" i="8" s="1"/>
  <c r="K60" i="8"/>
  <c r="G60" i="8" s="1"/>
  <c r="K23" i="8"/>
  <c r="G23" i="8" s="1"/>
  <c r="K47" i="8"/>
  <c r="G47" i="8" s="1"/>
  <c r="K62" i="8"/>
  <c r="G62" i="8" s="1"/>
  <c r="K46" i="8"/>
  <c r="G46" i="8" s="1"/>
  <c r="K11" i="8"/>
  <c r="G11" i="8" s="1"/>
  <c r="K61" i="8"/>
  <c r="G61" i="8" s="1"/>
  <c r="K22" i="8"/>
  <c r="G22" i="8" s="1"/>
  <c r="K43" i="8"/>
  <c r="G43" i="8" s="1"/>
  <c r="K21" i="8"/>
  <c r="G21" i="8" s="1"/>
  <c r="K20" i="8"/>
  <c r="G20" i="8" s="1"/>
  <c r="K33" i="8"/>
  <c r="G33" i="8" s="1"/>
  <c r="K32" i="8"/>
  <c r="G32" i="8" s="1"/>
  <c r="K54" i="8"/>
  <c r="G54" i="8" s="1"/>
  <c r="K57" i="8"/>
  <c r="G57" i="8" s="1"/>
  <c r="K6" i="8"/>
  <c r="G6" i="8" s="1"/>
  <c r="K45" i="8"/>
  <c r="G45" i="8" s="1"/>
  <c r="K8" i="8"/>
  <c r="G8" i="8" s="1"/>
  <c r="K4" i="8"/>
  <c r="G4" i="8" s="1"/>
  <c r="K31" i="8"/>
  <c r="G31" i="8" s="1"/>
  <c r="K51" i="8"/>
  <c r="G51" i="8" s="1"/>
  <c r="K30" i="8"/>
  <c r="G30" i="8" s="1"/>
  <c r="K42" i="8"/>
  <c r="G42" i="8" s="1"/>
  <c r="K13" i="8"/>
  <c r="G13" i="8" s="1"/>
  <c r="K7" i="8"/>
  <c r="G7" i="8" s="1"/>
  <c r="K34" i="8"/>
  <c r="G34" i="8" s="1"/>
  <c r="K25" i="8"/>
  <c r="G25" i="8" s="1"/>
  <c r="K26" i="8"/>
  <c r="G26" i="8" s="1"/>
  <c r="K40" i="8"/>
  <c r="G40"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rprunac</author>
    <author>JAROSSAY Mylène</author>
  </authors>
  <commentList>
    <comment ref="B4" authorId="0" shapeId="0" xr:uid="{E195F1E9-C526-4344-826D-B79A6DC4BEE5}">
      <text>
        <r>
          <rPr>
            <b/>
            <sz val="9"/>
            <color indexed="81"/>
            <rFont val="Tahoma"/>
            <family val="2"/>
          </rPr>
          <t>Why, What will you do, How will you do it</t>
        </r>
      </text>
    </comment>
    <comment ref="B5" authorId="1" shapeId="0" xr:uid="{B8B9916B-9C72-4EA2-89CD-F7E366B3C158}">
      <text>
        <r>
          <rPr>
            <sz val="9"/>
            <color indexed="81"/>
            <rFont val="Tahoma"/>
            <family val="2"/>
          </rPr>
          <t>Insert a list of functions.
For example a BtoC CRM project may include the following functions : booking, purchasing history, orders, contracts, claim tracking, orders satisfation, satisfaction surveys, product reviews.</t>
        </r>
      </text>
    </comment>
    <comment ref="B6" authorId="1" shapeId="0" xr:uid="{B0AABCCE-408F-4EE7-B94D-7FF63F9AC176}">
      <text>
        <r>
          <rPr>
            <sz val="9"/>
            <color indexed="81"/>
            <rFont val="Tahoma"/>
            <family val="2"/>
          </rPr>
          <t>The business domain in which the project is conducted.
(Finace, HR, Marketing, Media, Sales, etc.)</t>
        </r>
      </text>
    </comment>
    <comment ref="B8" authorId="1" shapeId="0" xr:uid="{44617403-652D-4F19-AD22-3D5D288ECE40}">
      <text>
        <r>
          <rPr>
            <sz val="9"/>
            <color indexed="81"/>
            <rFont val="Tahoma"/>
            <family val="2"/>
          </rPr>
          <t>Global, Region, Local market</t>
        </r>
      </text>
    </comment>
    <comment ref="B11" authorId="1" shapeId="0" xr:uid="{7E970D63-C9D8-42A9-81CC-78AD40BF9FAD}">
      <text>
        <r>
          <rPr>
            <sz val="9"/>
            <color indexed="81"/>
            <rFont val="Tahoma"/>
            <family val="2"/>
          </rPr>
          <t>How will be accessible the solution? i.e On premises , Intranet/SaaS/ Public -Internet, other</t>
        </r>
      </text>
    </comment>
    <comment ref="B12" authorId="1" shapeId="0" xr:uid="{B4E311DF-B1FF-451D-8601-0084F83FE329}">
      <text>
        <r>
          <rPr>
            <sz val="9"/>
            <color indexed="81"/>
            <rFont val="Tahoma"/>
            <family val="2"/>
          </rPr>
          <t>How often will be the data treatment executed? Permanent,  daily, monthly, yearly, once</t>
        </r>
      </text>
    </comment>
    <comment ref="B18" authorId="1" shapeId="0" xr:uid="{761B94D3-E852-4609-939E-33C040B763B9}">
      <text>
        <r>
          <rPr>
            <b/>
            <sz val="9"/>
            <color indexed="81"/>
            <rFont val="Tahoma"/>
            <family val="2"/>
          </rPr>
          <t>Name of application or system or interface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rprunac</author>
  </authors>
  <commentList>
    <comment ref="D4" authorId="0" shapeId="0" xr:uid="{E016031C-F75D-47D1-8C4D-97139A1CCE8A}">
      <text>
        <r>
          <rPr>
            <b/>
            <sz val="9"/>
            <color indexed="81"/>
            <rFont val="Tahoma"/>
            <family val="2"/>
          </rPr>
          <t>Internal infrastructure, Cloud, External Hosting, etc</t>
        </r>
      </text>
    </comment>
    <comment ref="F4" authorId="0" shapeId="0" xr:uid="{1D64A737-F020-4C2C-9F60-B70A0136DEEA}">
      <text>
        <r>
          <rPr>
            <b/>
            <sz val="9"/>
            <color indexed="81"/>
            <rFont val="Tahoma"/>
            <family val="2"/>
          </rPr>
          <t>Internal Employee, External Employee, Consultant, Supplier, Others
Please filling all the stakeholders accessing the data, and please specify if Others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JAROSSAY Mylène</author>
  </authors>
  <commentList>
    <comment ref="D3" authorId="0" shapeId="0" xr:uid="{10504125-E88B-496C-813D-559BCC96FF5C}">
      <text>
        <r>
          <rPr>
            <sz val="9"/>
            <color indexed="81"/>
            <rFont val="Tahoma"/>
            <family val="2"/>
          </rPr>
          <t>For each risk, explain one of several scenario that could lead to this risk</t>
        </r>
      </text>
    </comment>
    <comment ref="F3" authorId="0" shapeId="0" xr:uid="{70C281FC-531B-4E37-A15A-658DF37477DE}">
      <text>
        <r>
          <rPr>
            <sz val="9"/>
            <color indexed="81"/>
            <rFont val="Tahoma"/>
            <family val="2"/>
          </rPr>
          <t xml:space="preserve">Describe the direct and indirect consequences for the Company if the risk materializes.
</t>
        </r>
      </text>
    </comment>
    <comment ref="H3" authorId="0" shapeId="0" xr:uid="{C4548477-8846-4616-9083-8F5545A0BE17}">
      <text>
        <r>
          <rPr>
            <sz val="9"/>
            <color indexed="81"/>
            <rFont val="Tahoma"/>
            <family val="2"/>
          </rPr>
          <t>Describe the direct and indirect consequences for the Subjects if the risk materializes.See examples of impact below.</t>
        </r>
      </text>
    </comment>
    <comment ref="J3" authorId="0" shapeId="0" xr:uid="{5DC2EBF3-2B82-4FA5-BA33-5F8B2C3B3377}">
      <text>
        <r>
          <rPr>
            <sz val="9"/>
            <color indexed="81"/>
            <rFont val="Tahoma"/>
            <family val="2"/>
          </rPr>
          <t>Likelihood is a combined value that illustrates bothe frequency of occurrence and vulnerability.</t>
        </r>
      </text>
    </comment>
    <comment ref="K3" authorId="0" shapeId="0" xr:uid="{65D8BBEE-C530-4E10-9638-83DBB49ABA8F}">
      <text>
        <r>
          <rPr>
            <sz val="9"/>
            <color indexed="81"/>
            <rFont val="Tahoma"/>
            <family val="2"/>
          </rPr>
          <t>A score is calculated. The result is a value between 1 and 16.</t>
        </r>
      </text>
    </comment>
    <comment ref="L3" authorId="0" shapeId="0" xr:uid="{36867ACF-2048-4AD4-A2B7-5C6664D7F316}">
      <text>
        <r>
          <rPr>
            <sz val="9"/>
            <color indexed="81"/>
            <rFont val="Tahoma"/>
            <family val="2"/>
          </rPr>
          <t>If the Global risk value is under 4 then risk level is LOW, if it is between 4 and 8, it MEDIUM, above 8, the level is HIGH</t>
        </r>
      </text>
    </comment>
    <comment ref="M3" authorId="0" shapeId="0" xr:uid="{BFB6D019-8C37-428D-9276-7CB60C6E9101}">
      <text>
        <r>
          <rPr>
            <sz val="9"/>
            <color indexed="81"/>
            <rFont val="Tahoma"/>
            <family val="2"/>
          </rPr>
          <t>You must formally  record acceptance of residual risk.
You should accept residual risk if level is LOW.
Else you should add controls to reduce risk or you make a decision to formally accept the risk.
When there is a PIA and residual risk is more than LOW, contact the Authorities to discuss and try to find solutions before risk formal acceptance.</t>
        </r>
      </text>
    </comment>
    <comment ref="N3" authorId="0" shapeId="0" xr:uid="{EE52317E-88A9-4406-857B-522352785F37}">
      <text>
        <r>
          <rPr>
            <sz val="9"/>
            <color indexed="81"/>
            <rFont val="Tahoma"/>
            <family val="2"/>
          </rPr>
          <t>Describe the direct and indirect consequences for the Subjects if the risk materializes.See examples of impact below.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<sst xmlns="http://schemas.openxmlformats.org/spreadsheetml/2006/main" count="1917" uniqueCount="1638">
  <si>
    <t>Overview</t>
  </si>
  <si>
    <t>This document aims to provide an outline of some key information captured regarding the project/application</t>
  </si>
  <si>
    <t>Project form</t>
  </si>
  <si>
    <t>Questionnaire to describe project contacts and stakeholdersand also to assess security and risk level of the project through defined metrics &amp; indicators
Please contact : GroupSecurity@sephora.fr if you have any question</t>
  </si>
  <si>
    <t>Disclaimer</t>
  </si>
  <si>
    <t>Please keep in mind that the following requierments should be taken into account before completing the document</t>
  </si>
  <si>
    <r>
      <t>Identify</t>
    </r>
    <r>
      <rPr>
        <sz val="12"/>
        <color theme="0"/>
        <rFont val="Calibri"/>
        <family val="2"/>
        <scheme val="minor"/>
      </rPr>
      <t xml:space="preserve"> what </t>
    </r>
    <r>
      <rPr>
        <b/>
        <sz val="12"/>
        <color theme="0"/>
        <rFont val="Calibri"/>
        <family val="2"/>
        <scheme val="minor"/>
      </rPr>
      <t>type data</t>
    </r>
    <r>
      <rPr>
        <sz val="12"/>
        <color theme="0"/>
        <rFont val="Calibri"/>
        <family val="2"/>
        <scheme val="minor"/>
      </rPr>
      <t xml:space="preserve"> (see Confidentiality scale) is impacted, modified or created by the project</t>
    </r>
  </si>
  <si>
    <r>
      <rPr>
        <b/>
        <sz val="12"/>
        <color theme="0"/>
        <rFont val="Calibri"/>
        <family val="2"/>
        <scheme val="minor"/>
      </rPr>
      <t>Identify the personal data</t>
    </r>
    <r>
      <rPr>
        <sz val="12"/>
        <color theme="0"/>
        <rFont val="Calibri"/>
        <family val="2"/>
        <scheme val="minor"/>
      </rPr>
      <t xml:space="preserve"> that will be collected, stored, transferred</t>
    </r>
  </si>
  <si>
    <r>
      <rPr>
        <b/>
        <sz val="12"/>
        <color theme="0"/>
        <rFont val="Calibri"/>
        <family val="2"/>
        <scheme val="minor"/>
      </rPr>
      <t>Involve your Local Data Privacy Contact</t>
    </r>
    <r>
      <rPr>
        <sz val="12"/>
        <color theme="0"/>
        <rFont val="Calibri"/>
        <family val="2"/>
        <scheme val="minor"/>
      </rPr>
      <t xml:space="preserve"> if your project includes personal data</t>
    </r>
  </si>
  <si>
    <r>
      <rPr>
        <b/>
        <sz val="12"/>
        <color theme="0"/>
        <rFont val="Calibri"/>
        <family val="2"/>
        <scheme val="minor"/>
      </rPr>
      <t>Do not duplicate data</t>
    </r>
    <r>
      <rPr>
        <sz val="12"/>
        <color theme="0"/>
        <rFont val="Calibri"/>
        <family val="2"/>
        <scheme val="minor"/>
      </rPr>
      <t xml:space="preserve"> in this project that already exists in other projects.</t>
    </r>
  </si>
  <si>
    <r>
      <rPr>
        <b/>
        <sz val="12"/>
        <color theme="0"/>
        <rFont val="Calibri"/>
        <family val="2"/>
        <scheme val="minor"/>
      </rPr>
      <t xml:space="preserve">Before any data is shared, work with Privacy/Legal team </t>
    </r>
    <r>
      <rPr>
        <sz val="12"/>
        <color theme="0"/>
        <rFont val="Calibri"/>
        <family val="2"/>
        <scheme val="minor"/>
      </rPr>
      <t xml:space="preserve">to put the relevant contract </t>
    </r>
    <r>
      <rPr>
        <b/>
        <sz val="12"/>
        <color theme="0"/>
        <rFont val="Calibri"/>
        <family val="2"/>
        <scheme val="minor"/>
      </rPr>
      <t>or</t>
    </r>
    <r>
      <rPr>
        <sz val="12"/>
        <color theme="0"/>
        <rFont val="Calibri"/>
        <family val="2"/>
        <scheme val="minor"/>
      </rPr>
      <t xml:space="preserve">, privacy clause </t>
    </r>
    <r>
      <rPr>
        <b/>
        <sz val="12"/>
        <color theme="0"/>
        <rFont val="Calibri"/>
        <family val="2"/>
        <scheme val="minor"/>
      </rPr>
      <t>or</t>
    </r>
    <r>
      <rPr>
        <sz val="12"/>
        <color theme="0"/>
        <rFont val="Calibri"/>
        <family val="2"/>
        <scheme val="minor"/>
      </rPr>
      <t xml:space="preserve"> NDA are in place </t>
    </r>
  </si>
  <si>
    <t>Tab</t>
  </si>
  <si>
    <t xml:space="preserve">Objectives </t>
  </si>
  <si>
    <t>0 - Home</t>
  </si>
  <si>
    <r>
      <t xml:space="preserve">The </t>
    </r>
    <r>
      <rPr>
        <b/>
        <sz val="12"/>
        <color theme="0"/>
        <rFont val="Calibri"/>
        <family val="2"/>
        <scheme val="minor"/>
      </rPr>
      <t>Guidelines</t>
    </r>
    <r>
      <rPr>
        <sz val="12"/>
        <color theme="0"/>
        <rFont val="Calibri"/>
        <family val="2"/>
        <scheme val="minor"/>
      </rPr>
      <t xml:space="preserve"> sheet aims to present the different tabs of this sheet.</t>
    </r>
  </si>
  <si>
    <t>1 - General description</t>
  </si>
  <si>
    <r>
      <t xml:space="preserve">
The </t>
    </r>
    <r>
      <rPr>
        <b/>
        <sz val="12"/>
        <color theme="0"/>
        <rFont val="Calibri"/>
        <family val="2"/>
        <scheme val="minor"/>
      </rPr>
      <t>General description</t>
    </r>
    <r>
      <rPr>
        <sz val="12"/>
        <color theme="0"/>
        <rFont val="Calibri"/>
        <family val="2"/>
        <scheme val="minor"/>
      </rPr>
      <t xml:space="preserve"> tab aims to present the general descriptive information about the IT project regardless of security of privacy aspects. More specificly, the sheet is devided in two sections :
</t>
    </r>
    <r>
      <rPr>
        <b/>
        <sz val="12"/>
        <color theme="0"/>
        <rFont val="Calibri"/>
        <family val="2"/>
        <scheme val="minor"/>
      </rPr>
      <t xml:space="preserve"> 1. General description</t>
    </r>
    <r>
      <rPr>
        <sz val="12"/>
        <color theme="0"/>
        <rFont val="Calibri"/>
        <family val="2"/>
        <scheme val="minor"/>
      </rPr>
      <t xml:space="preserve">
The IT Project Manager has to provide descriptive information, such as the Project Title, the Business Domain, the objectives and the scope of the project etc.
The Project Manager has to give information about the global architecture, the role of 3rd parties, the technological context (mobility, IoT, industrial systems...) and some use cases (number and type of users) in order to better assess the exposure of the project.
</t>
    </r>
    <r>
      <rPr>
        <b/>
        <sz val="12"/>
        <color theme="0"/>
        <rFont val="Calibri"/>
        <family val="2"/>
        <scheme val="minor"/>
      </rPr>
      <t>2. Main components</t>
    </r>
    <r>
      <rPr>
        <sz val="12"/>
        <color theme="0"/>
        <rFont val="Calibri"/>
        <family val="2"/>
        <scheme val="minor"/>
      </rPr>
      <t xml:space="preserve">
The Project Manager has to list the different components (applications, systems and interfaces) that are part of the project.
</t>
    </r>
    <r>
      <rPr>
        <b/>
        <sz val="12"/>
        <color theme="0"/>
        <rFont val="Calibri"/>
        <family val="2"/>
        <scheme val="minor"/>
      </rPr>
      <t>3. Sub-contractors</t>
    </r>
    <r>
      <rPr>
        <sz val="12"/>
        <color theme="0"/>
        <rFont val="Calibri"/>
        <family val="2"/>
        <scheme val="minor"/>
      </rPr>
      <t xml:space="preserve"> : The Project Manager has to list the different sub-contractors of the project by giving their name, explaining their role and listing the different documents integrated for assessment and agreement. 
</t>
    </r>
    <r>
      <rPr>
        <b/>
        <sz val="12"/>
        <color theme="0"/>
        <rFont val="Calibri"/>
        <family val="2"/>
        <scheme val="minor"/>
      </rPr>
      <t>4. General questions</t>
    </r>
    <r>
      <rPr>
        <sz val="12"/>
        <color theme="0"/>
        <rFont val="Calibri"/>
        <family val="2"/>
        <scheme val="minor"/>
      </rPr>
      <t xml:space="preserve">
The IT Project Manager must indicate all the use-cases corresponding the service provided to Sephora by writing "Yes" (instead of "No") on the appropriated lines.
</t>
    </r>
  </si>
  <si>
    <t>2 - Qualification</t>
  </si>
  <si>
    <r>
      <t xml:space="preserve">
The </t>
    </r>
    <r>
      <rPr>
        <b/>
        <sz val="12"/>
        <color theme="0"/>
        <rFont val="Calibri"/>
        <family val="2"/>
        <scheme val="minor"/>
      </rPr>
      <t>Qualification</t>
    </r>
    <r>
      <rPr>
        <sz val="12"/>
        <color theme="0"/>
        <rFont val="Calibri"/>
        <family val="2"/>
        <scheme val="minor"/>
      </rPr>
      <t xml:space="preserve"> tab aims to evaluate the security and privacy requirements and provides a first insight about exposure of this project. This includes global data mapping, evaluating the requirements of security and  providing indicators about exposure. This sheet is divided in two different sections :
</t>
    </r>
    <r>
      <rPr>
        <b/>
        <sz val="12"/>
        <color theme="0"/>
        <rFont val="Calibri"/>
        <family val="2"/>
        <scheme val="minor"/>
      </rPr>
      <t>1. Data mapping</t>
    </r>
    <r>
      <rPr>
        <sz val="12"/>
        <color theme="0"/>
        <rFont val="Calibri"/>
        <family val="2"/>
        <scheme val="minor"/>
      </rPr>
      <t xml:space="preserve"> : in this section, the Project Manager has to list the categories of data, and to specify if the project handles personal and/or strategic data. This enables to assess a sensitivity level especially for privacy.
</t>
    </r>
    <r>
      <rPr>
        <b/>
        <sz val="12"/>
        <color theme="0"/>
        <rFont val="Calibri"/>
        <family val="2"/>
        <scheme val="minor"/>
      </rPr>
      <t>2. Security requirements :</t>
    </r>
    <r>
      <rPr>
        <sz val="12"/>
        <color theme="0"/>
        <rFont val="Calibri"/>
        <family val="2"/>
        <scheme val="minor"/>
      </rPr>
      <t xml:space="preserve"> The Project Manager has to define the requirements according to 6 criteria : Confidentiality, Integrity, Availability, Traceability, Privacy and Compliance from an business impact point of view.
</t>
    </r>
  </si>
  <si>
    <t>3 - 3rd Security Party Policy</t>
  </si>
  <si>
    <r>
      <t>The Applicability column (H) is automatically updated depending on the use-cases declared in "</t>
    </r>
    <r>
      <rPr>
        <b/>
        <sz val="12"/>
        <color theme="0"/>
        <rFont val="Calibri"/>
        <family val="2"/>
        <scheme val="minor"/>
      </rPr>
      <t>1 - General description</t>
    </r>
    <r>
      <rPr>
        <sz val="12"/>
        <color theme="0"/>
        <rFont val="Calibri"/>
        <family val="2"/>
        <scheme val="minor"/>
      </rPr>
      <t xml:space="preserve">" tab.
It indicated the requirements to which an answer is necessary.
</t>
    </r>
    <r>
      <rPr>
        <u/>
        <sz val="12"/>
        <color theme="0"/>
        <rFont val="Calibri"/>
        <family val="2"/>
        <scheme val="minor"/>
      </rPr>
      <t xml:space="preserve">For </t>
    </r>
    <r>
      <rPr>
        <b/>
        <u/>
        <sz val="12"/>
        <color theme="0"/>
        <rFont val="Calibri"/>
        <family val="2"/>
        <scheme val="minor"/>
      </rPr>
      <t>each</t>
    </r>
    <r>
      <rPr>
        <u/>
        <sz val="12"/>
        <color theme="0"/>
        <rFont val="Calibri"/>
        <family val="2"/>
        <scheme val="minor"/>
      </rPr>
      <t xml:space="preserve"> requirement/line declared as </t>
    </r>
    <r>
      <rPr>
        <b/>
        <u/>
        <sz val="12"/>
        <color theme="0"/>
        <rFont val="Calibri"/>
        <family val="2"/>
        <scheme val="minor"/>
      </rPr>
      <t>applicable</t>
    </r>
    <r>
      <rPr>
        <sz val="12"/>
        <color theme="0"/>
        <rFont val="Calibri"/>
        <family val="2"/>
        <scheme val="minor"/>
      </rPr>
      <t xml:space="preserve">, you must fulfill the compliance level (column I): </t>
    </r>
    <r>
      <rPr>
        <b/>
        <sz val="12"/>
        <color theme="0"/>
        <rFont val="Calibri"/>
        <family val="2"/>
        <scheme val="minor"/>
      </rPr>
      <t xml:space="preserve">Not Compliant / Partial / Full.
</t>
    </r>
    <r>
      <rPr>
        <sz val="12"/>
        <color theme="0"/>
        <rFont val="Calibri"/>
        <family val="2"/>
        <scheme val="minor"/>
      </rPr>
      <t xml:space="preserve">If a requirement is answered as non compliant or partially compliant: you must provide details about the reasons of the non compliance, about potential measures already implemented, or roadmap elements if projects are planned which may lead to a compliance. Those details can be provided in the J and K column.
</t>
    </r>
    <r>
      <rPr>
        <b/>
        <sz val="12"/>
        <color theme="0"/>
        <rFont val="Calibri"/>
        <family val="2"/>
        <scheme val="minor"/>
      </rPr>
      <t>Warning</t>
    </r>
    <r>
      <rPr>
        <sz val="12"/>
        <color theme="0"/>
        <rFont val="Calibri"/>
        <family val="2"/>
        <scheme val="minor"/>
      </rPr>
      <t>: apart from columns I, J, K and L no other columns should be manually modified.
This document becomes an appendix to the contract between the customer and the supplier.</t>
    </r>
  </si>
  <si>
    <t>4 - 3rd Party Assessment</t>
  </si>
  <si>
    <r>
      <t xml:space="preserve">
The </t>
    </r>
    <r>
      <rPr>
        <b/>
        <sz val="12"/>
        <color theme="0"/>
        <rFont val="Calibri"/>
        <family val="2"/>
        <scheme val="minor"/>
      </rPr>
      <t>3rd Party Assessment</t>
    </r>
    <r>
      <rPr>
        <sz val="12"/>
        <color theme="0"/>
        <rFont val="Calibri"/>
        <family val="2"/>
        <scheme val="minor"/>
      </rPr>
      <t xml:space="preserve"> tab aims to evaluate the organizational security of the partner as well as the technical security of the proposed solution.
In this assessment, the partner is expected to support its answers with documents/policies/processes/certifications/audit results that will prove the security level of the solution and its organization.</t>
    </r>
  </si>
  <si>
    <t>5 - Risk Assessment</t>
  </si>
  <si>
    <r>
      <t xml:space="preserve">The </t>
    </r>
    <r>
      <rPr>
        <b/>
        <sz val="12"/>
        <color theme="0"/>
        <rFont val="Calibri"/>
        <family val="2"/>
        <scheme val="minor"/>
      </rPr>
      <t>Risk assessment</t>
    </r>
    <r>
      <rPr>
        <sz val="12"/>
        <color theme="0"/>
        <rFont val="Calibri"/>
        <family val="2"/>
        <scheme val="minor"/>
      </rPr>
      <t xml:space="preserve"> tab is the tool with which the IT Project Manager will make risk analysis and the DPIA if decided in the Data Privacy Focus (option) tab. One risks are assessed, countermeasures must be selected to reduce/avoid/transfer the risks (reduce impact or likelihood). It's an iterative approach. Measures must be added until residual risk is acceptable. This sheet is divided into two main parts :
</t>
    </r>
    <r>
      <rPr>
        <b/>
        <sz val="12"/>
        <color theme="0"/>
        <rFont val="Calibri"/>
        <family val="2"/>
        <scheme val="minor"/>
      </rPr>
      <t>1. Top risks (cyber and privacy)</t>
    </r>
    <r>
      <rPr>
        <sz val="12"/>
        <color theme="0"/>
        <rFont val="Calibri"/>
        <family val="2"/>
        <scheme val="minor"/>
      </rPr>
      <t xml:space="preserve">
The IP Project Manager gives a list of top risks and associated threat scenarios, description and scoring of the potential impacts from a coporate point of view and from the subjects point of view (for PIA), assess likelihood and calculates risk score.
</t>
    </r>
    <r>
      <rPr>
        <b/>
        <sz val="12"/>
        <color theme="0"/>
        <rFont val="Calibri"/>
        <family val="2"/>
        <scheme val="minor"/>
      </rPr>
      <t>2. Security measures</t>
    </r>
    <r>
      <rPr>
        <sz val="12"/>
        <color theme="0"/>
        <rFont val="Calibri"/>
        <family val="2"/>
        <scheme val="minor"/>
      </rPr>
      <t xml:space="preserve">
The Project Manager has to list all the countermeasures : those already implemented (transversal) and the specific measures to reduce the risks identified above.</t>
    </r>
  </si>
  <si>
    <t>GENERAL DESCRIPTION</t>
  </si>
  <si>
    <t>Project Title</t>
  </si>
  <si>
    <t>Objectives</t>
  </si>
  <si>
    <t>Main Functions</t>
  </si>
  <si>
    <t>Business Domain</t>
  </si>
  <si>
    <t>Will the solution be used by mobile devices (smartphones, tablets…) ?</t>
  </si>
  <si>
    <t>Business Sponsor</t>
  </si>
  <si>
    <t>Department</t>
  </si>
  <si>
    <t>Business Application Owner</t>
  </si>
  <si>
    <t>Scope</t>
  </si>
  <si>
    <t>IT Project Manager (Build &amp; change)</t>
  </si>
  <si>
    <t>Operational points</t>
  </si>
  <si>
    <t>Does the solution involve industrial systems ?</t>
  </si>
  <si>
    <t>IT Application Manager (Run)</t>
  </si>
  <si>
    <t>Hosting</t>
  </si>
  <si>
    <t>Business Security Referent</t>
  </si>
  <si>
    <t>Exposure</t>
  </si>
  <si>
    <t>Security key contact</t>
  </si>
  <si>
    <t>Frequency</t>
  </si>
  <si>
    <t>Does the solution involve connected objects (IoT) ?</t>
  </si>
  <si>
    <t>Local DPC (Data Privacy Contact)</t>
  </si>
  <si>
    <t>Integration with internal information system</t>
  </si>
  <si>
    <t>Is the solution a POC ?</t>
  </si>
  <si>
    <t>API</t>
  </si>
  <si>
    <t>Does the solution involve the usage or development of AI ?</t>
  </si>
  <si>
    <t>Yes</t>
  </si>
  <si>
    <t>Production start date</t>
  </si>
  <si>
    <t>Main components : applications, systems and interfaces</t>
  </si>
  <si>
    <t>Component name</t>
  </si>
  <si>
    <t>Type</t>
  </si>
  <si>
    <t>Editor</t>
  </si>
  <si>
    <t>Comment</t>
  </si>
  <si>
    <t>Sub-contractors</t>
  </si>
  <si>
    <t>Sub-contractor name</t>
  </si>
  <si>
    <t>Role</t>
  </si>
  <si>
    <t>Security &amp; Data protection clauses</t>
  </si>
  <si>
    <t>3rd party security policy</t>
  </si>
  <si>
    <t>Security Assurance Plan</t>
  </si>
  <si>
    <t>Reversibility Plan</t>
  </si>
  <si>
    <t>GENERAL QUESTIONS TO BE FILLED BY ALL COMPANIES</t>
  </si>
  <si>
    <t>General questions about the service / Questions générales sur la prestation</t>
  </si>
  <si>
    <t>General questions / Questions générales</t>
  </si>
  <si>
    <t>To be filled by the Company / A remplir par la Société</t>
  </si>
  <si>
    <t>Client comments / Commentaires du Client</t>
  </si>
  <si>
    <r>
      <t>Consultancy/audit services, survey in any business or support activity (</t>
    </r>
    <r>
      <rPr>
        <b/>
        <i/>
        <sz val="12"/>
        <color theme="0"/>
        <rFont val="Calibri"/>
        <family val="2"/>
        <scheme val="minor"/>
      </rPr>
      <t>ex: marketing, medias, sales, finance, HR, IT, logistics, general services, architecture, decoration,…</t>
    </r>
    <r>
      <rPr>
        <b/>
        <sz val="12"/>
        <color theme="0"/>
        <rFont val="Calibri"/>
        <family val="2"/>
        <scheme val="minor"/>
      </rPr>
      <t>) which need exchange means and temporary storage (</t>
    </r>
    <r>
      <rPr>
        <b/>
        <i/>
        <sz val="12"/>
        <color theme="0"/>
        <rFont val="Calibri"/>
        <family val="2"/>
        <scheme val="minor"/>
      </rPr>
      <t>data, documents</t>
    </r>
    <r>
      <rPr>
        <b/>
        <sz val="12"/>
        <color theme="0"/>
        <rFont val="Calibri"/>
        <family val="2"/>
        <scheme val="minor"/>
      </rPr>
      <t>) to ensure communication with the Customer?
/
Des prestations de type études/conseils/audits/enquêtes dans tout domaine d'activité métier ou support ? (</t>
    </r>
    <r>
      <rPr>
        <b/>
        <i/>
        <sz val="12"/>
        <color theme="0"/>
        <rFont val="Calibri"/>
        <family val="2"/>
        <scheme val="minor"/>
      </rPr>
      <t>ex: marketing, médias, vente , finance, RH, IT, logistique, services généraux, architecture, décoration…</t>
    </r>
    <r>
      <rPr>
        <b/>
        <sz val="12"/>
        <color theme="0"/>
        <rFont val="Calibri"/>
        <family val="2"/>
        <scheme val="minor"/>
      </rPr>
      <t>) nécessitant notamment  des moyens d’échange et de stockage temporaires d'information (</t>
    </r>
    <r>
      <rPr>
        <b/>
        <i/>
        <sz val="12"/>
        <color theme="0"/>
        <rFont val="Calibri"/>
        <family val="2"/>
        <scheme val="minor"/>
      </rPr>
      <t>documents, données</t>
    </r>
    <r>
      <rPr>
        <b/>
        <sz val="12"/>
        <color theme="0"/>
        <rFont val="Calibri"/>
        <family val="2"/>
        <scheme val="minor"/>
      </rPr>
      <t>) pour assurer la communication avec le Client.</t>
    </r>
  </si>
  <si>
    <t>No</t>
  </si>
  <si>
    <r>
      <t xml:space="preserve">Provider's connection to the client's network for maintenance, support and/or operation on non-IT technical components?
</t>
    </r>
    <r>
      <rPr>
        <b/>
        <i/>
        <u/>
        <sz val="12"/>
        <color theme="0"/>
        <rFont val="Calibri"/>
        <family val="2"/>
        <scheme val="minor"/>
      </rPr>
      <t>Examples:</t>
    </r>
    <r>
      <rPr>
        <b/>
        <i/>
        <sz val="12"/>
        <color theme="0"/>
        <rFont val="Calibri"/>
        <family val="2"/>
        <scheme val="minor"/>
      </rPr>
      <t xml:space="preserve"> on-site maintenance of electrical installation, air conditionning, shop lighting, CCTV, intrusion detection, remote maintenance of electrical installation, physical access control system management</t>
    </r>
    <r>
      <rPr>
        <b/>
        <sz val="12"/>
        <color theme="0"/>
        <rFont val="Calibri"/>
        <family val="2"/>
        <scheme val="minor"/>
      </rPr>
      <t xml:space="preserve">
/
Des connexions du prestataire à des fins de maintenance, support et/ou d'exploitation, sur des composants techniques non IT, mais raccordés au réseau du client ?
</t>
    </r>
    <r>
      <rPr>
        <b/>
        <i/>
        <u/>
        <sz val="12"/>
        <color theme="0"/>
        <rFont val="Calibri"/>
        <family val="2"/>
        <scheme val="minor"/>
      </rPr>
      <t xml:space="preserve">Exemples : </t>
    </r>
    <r>
      <rPr>
        <b/>
        <i/>
        <sz val="12"/>
        <color theme="0"/>
        <rFont val="Calibri"/>
        <family val="2"/>
        <scheme val="minor"/>
      </rPr>
      <t>maintenance sur site installation électrique, climatisation, éclairage boutique, vidéosurveillance, détection intrusion, maintenance à distance installation électrique, gestion système de contrôle d'accès physique</t>
    </r>
  </si>
  <si>
    <r>
      <t xml:space="preserve">Operational/Support/Maintenance intervention on IT ressources of the Customer?
</t>
    </r>
    <r>
      <rPr>
        <b/>
        <i/>
        <u/>
        <sz val="12"/>
        <color theme="0"/>
        <rFont val="Calibri"/>
        <family val="2"/>
        <scheme val="minor"/>
      </rPr>
      <t>Examples:</t>
    </r>
    <r>
      <rPr>
        <b/>
        <i/>
        <sz val="12"/>
        <color theme="0"/>
        <rFont val="Calibri"/>
        <family val="2"/>
        <scheme val="minor"/>
      </rPr>
      <t xml:space="preserve"> administration of systems, networks or databaseslocal user support, TMA, managed services</t>
    </r>
    <r>
      <rPr>
        <b/>
        <sz val="12"/>
        <color theme="0"/>
        <rFont val="Calibri"/>
        <family val="2"/>
        <scheme val="minor"/>
      </rPr>
      <t xml:space="preserve">
/
Des interventions d'exploitation, de support ou de maintenance sur le Système d'Information du client ?
</t>
    </r>
    <r>
      <rPr>
        <b/>
        <i/>
        <u/>
        <sz val="12"/>
        <color theme="0"/>
        <rFont val="Calibri"/>
        <family val="2"/>
        <scheme val="minor"/>
      </rPr>
      <t>Exemples :</t>
    </r>
    <r>
      <rPr>
        <b/>
        <i/>
        <sz val="12"/>
        <color theme="0"/>
        <rFont val="Calibri"/>
        <family val="2"/>
        <scheme val="minor"/>
      </rPr>
      <t xml:space="preserve"> administration de systèmes, réseaux ou bases de données sur site, support de proximité aux utilisateurs, TMA, Infogérance</t>
    </r>
  </si>
  <si>
    <t>Is the service provided a call center activity?
/
Est-ce qu'un center d'appel est utilisé dans le cadre de la prestation ?</t>
  </si>
  <si>
    <t>Hosting of  Customer's Information System Platforms/Systems/Components?
/
L'hébergement de systèmes/plateformes/composants du SI du client?</t>
  </si>
  <si>
    <t>Website hosting for the Customer?
/
L'hébergement d'un site Web pour le client ?</t>
  </si>
  <si>
    <t>Provision of SaaS based softwares?
/
La fourniture de logiciels en mode SaaS ?</t>
  </si>
  <si>
    <t>Realization of IT development?
/
La réalisation de développements informatiques ?</t>
  </si>
  <si>
    <r>
      <t xml:space="preserve">Provision of managed security services or infrastructures services .
</t>
    </r>
    <r>
      <rPr>
        <b/>
        <i/>
        <u/>
        <sz val="12"/>
        <color theme="0"/>
        <rFont val="Calibri"/>
        <family val="2"/>
        <scheme val="minor"/>
      </rPr>
      <t>Examples:</t>
    </r>
    <r>
      <rPr>
        <b/>
        <i/>
        <sz val="12"/>
        <color theme="0"/>
        <rFont val="Calibri"/>
        <family val="2"/>
        <scheme val="minor"/>
      </rPr>
      <t xml:space="preserve"> NOC/SOC, telephony, internet connectivity, video conference</t>
    </r>
    <r>
      <rPr>
        <b/>
        <sz val="12"/>
        <color theme="0"/>
        <rFont val="Calibri"/>
        <family val="2"/>
        <scheme val="minor"/>
      </rPr>
      <t xml:space="preserve">
/
La fourniture de services de sécurité managés ou opérateur de services d'infrastructures
</t>
    </r>
    <r>
      <rPr>
        <b/>
        <u/>
        <sz val="12"/>
        <color theme="0"/>
        <rFont val="Calibri"/>
        <family val="2"/>
        <scheme val="minor"/>
      </rPr>
      <t>E</t>
    </r>
    <r>
      <rPr>
        <b/>
        <i/>
        <u/>
        <sz val="12"/>
        <color theme="0"/>
        <rFont val="Calibri"/>
        <family val="2"/>
        <scheme val="minor"/>
      </rPr>
      <t>xemple :</t>
    </r>
    <r>
      <rPr>
        <b/>
        <i/>
        <sz val="12"/>
        <color theme="0"/>
        <rFont val="Calibri"/>
        <family val="2"/>
        <scheme val="minor"/>
      </rPr>
      <t xml:space="preserve"> NOC/SOC, téléphonie, connectivité internet, video-conférence</t>
    </r>
  </si>
  <si>
    <t>Is the service provided occasional or short-termed?
/
La prestation est-elle ponctuelle ou de courte durée ?</t>
  </si>
  <si>
    <t>Is the service provided mainly performed  on Customer' site?
/
La prestation se déroule principalement dans les locaux du client ?</t>
  </si>
  <si>
    <t>Z</t>
  </si>
  <si>
    <t>PST LIGHT</t>
  </si>
  <si>
    <t>A</t>
  </si>
  <si>
    <r>
      <t>Consultancy/audit services, survey in any business or support activity (</t>
    </r>
    <r>
      <rPr>
        <b/>
        <i/>
        <sz val="10"/>
        <color theme="1"/>
        <rFont val="Calibri"/>
        <family val="2"/>
        <scheme val="minor"/>
      </rPr>
      <t>ex: marketing, medias, sales, finance, HR, IT, logistics, general services, architecture, decoration,…</t>
    </r>
    <r>
      <rPr>
        <b/>
        <sz val="10"/>
        <color theme="1"/>
        <rFont val="Calibri"/>
        <family val="2"/>
        <scheme val="minor"/>
      </rPr>
      <t>) which need exchange means and temporary storage (</t>
    </r>
    <r>
      <rPr>
        <b/>
        <i/>
        <sz val="10"/>
        <color theme="1"/>
        <rFont val="Calibri"/>
        <family val="2"/>
        <scheme val="minor"/>
      </rPr>
      <t>data, documents</t>
    </r>
    <r>
      <rPr>
        <b/>
        <sz val="10"/>
        <color theme="1"/>
        <rFont val="Calibri"/>
        <family val="2"/>
        <scheme val="minor"/>
      </rPr>
      <t>) to ensure communication with the Customer?
/
Des prestations de type études/conseils/audits/enquêtes dans tout domaine d'activité métier ou support ? (</t>
    </r>
    <r>
      <rPr>
        <b/>
        <i/>
        <sz val="10"/>
        <color theme="1"/>
        <rFont val="Calibri"/>
        <family val="2"/>
        <scheme val="minor"/>
      </rPr>
      <t>ex: marketing, médias, vente , finance, RH, IT, logistique, services généraux, architecture, décoration…</t>
    </r>
    <r>
      <rPr>
        <b/>
        <sz val="10"/>
        <color theme="1"/>
        <rFont val="Calibri"/>
        <family val="2"/>
        <scheme val="minor"/>
      </rPr>
      <t>) nécessitant notamment  des moyens d’échange et de stockage temporaires d'information (</t>
    </r>
    <r>
      <rPr>
        <b/>
        <i/>
        <sz val="10"/>
        <color theme="1"/>
        <rFont val="Calibri"/>
        <family val="2"/>
        <scheme val="minor"/>
      </rPr>
      <t>documents, données</t>
    </r>
    <r>
      <rPr>
        <b/>
        <sz val="10"/>
        <color theme="1"/>
        <rFont val="Calibri"/>
        <family val="2"/>
        <scheme val="minor"/>
      </rPr>
      <t>) pour assurer la communication avec le Client.</t>
    </r>
  </si>
  <si>
    <t>B</t>
  </si>
  <si>
    <r>
      <t xml:space="preserve">Provider's connection to the client's network for maintenance, support and/or operation on non-IT technical components?
</t>
    </r>
    <r>
      <rPr>
        <b/>
        <i/>
        <u/>
        <sz val="10"/>
        <color theme="1"/>
        <rFont val="Calibri"/>
        <family val="2"/>
        <scheme val="minor"/>
      </rPr>
      <t>Examples:</t>
    </r>
    <r>
      <rPr>
        <b/>
        <i/>
        <sz val="10"/>
        <color theme="1"/>
        <rFont val="Calibri"/>
        <family val="2"/>
        <scheme val="minor"/>
      </rPr>
      <t xml:space="preserve"> on-site maintenance of electrical installation, air conditionning, shop lighting, CCTV, intrusion detection, remote maintenance of electrical installation, physical access control system management</t>
    </r>
    <r>
      <rPr>
        <b/>
        <sz val="10"/>
        <color theme="1"/>
        <rFont val="Calibri"/>
        <family val="2"/>
        <scheme val="minor"/>
      </rPr>
      <t xml:space="preserve">
/
Des connexions du prestataire à des fins de maintenance, support et/ou d'exploitation, sur des composants techniques non IT, mais raccordés au réseau du client ?
</t>
    </r>
    <r>
      <rPr>
        <b/>
        <i/>
        <u/>
        <sz val="10"/>
        <color theme="1"/>
        <rFont val="Calibri"/>
        <family val="2"/>
        <scheme val="minor"/>
      </rPr>
      <t xml:space="preserve">Exemples : </t>
    </r>
    <r>
      <rPr>
        <b/>
        <i/>
        <sz val="10"/>
        <color theme="1"/>
        <rFont val="Calibri"/>
        <family val="2"/>
        <scheme val="minor"/>
      </rPr>
      <t>maintenance sur site installation électrique, climatisation, éclairage boutique, vidéosurveillance, détection intrusion, maintenance à distance installation électrique, gestion système de contrôle d'accès physique</t>
    </r>
  </si>
  <si>
    <t>C</t>
  </si>
  <si>
    <r>
      <t xml:space="preserve">Operational/Support/Maintenance intervention on IT ressources of the Customer?
</t>
    </r>
    <r>
      <rPr>
        <b/>
        <i/>
        <u/>
        <sz val="10"/>
        <color theme="1"/>
        <rFont val="Calibri"/>
        <family val="2"/>
        <scheme val="minor"/>
      </rPr>
      <t>Examples:</t>
    </r>
    <r>
      <rPr>
        <b/>
        <i/>
        <sz val="10"/>
        <color theme="1"/>
        <rFont val="Calibri"/>
        <family val="2"/>
        <scheme val="minor"/>
      </rPr>
      <t xml:space="preserve"> administration of systems, networks or databaseslocal user support, TMA, managed services</t>
    </r>
    <r>
      <rPr>
        <b/>
        <sz val="10"/>
        <color theme="1"/>
        <rFont val="Calibri"/>
        <family val="2"/>
        <scheme val="minor"/>
      </rPr>
      <t xml:space="preserve">
/
Des interventions d'exploitation, de support ou de maintenance sur le Système d'Information du client ?
</t>
    </r>
    <r>
      <rPr>
        <b/>
        <i/>
        <u/>
        <sz val="10"/>
        <color theme="1"/>
        <rFont val="Calibri"/>
        <family val="2"/>
        <scheme val="minor"/>
      </rPr>
      <t>Exemples :</t>
    </r>
    <r>
      <rPr>
        <b/>
        <i/>
        <sz val="10"/>
        <color theme="1"/>
        <rFont val="Calibri"/>
        <family val="2"/>
        <scheme val="minor"/>
      </rPr>
      <t xml:space="preserve"> administration de systèmes, réseaux ou bases de données sur site, support de proximité aux utilisateurs, TMA, Infogérance</t>
    </r>
  </si>
  <si>
    <t>D</t>
  </si>
  <si>
    <t>E</t>
  </si>
  <si>
    <t>F</t>
  </si>
  <si>
    <t>G</t>
  </si>
  <si>
    <t>H</t>
  </si>
  <si>
    <r>
      <t xml:space="preserve">Provision of managed security services or infrastructures services .
</t>
    </r>
    <r>
      <rPr>
        <b/>
        <i/>
        <u/>
        <sz val="10"/>
        <color theme="1"/>
        <rFont val="Calibri"/>
        <family val="2"/>
        <scheme val="minor"/>
      </rPr>
      <t>Examples:</t>
    </r>
    <r>
      <rPr>
        <b/>
        <i/>
        <sz val="10"/>
        <color theme="1"/>
        <rFont val="Calibri"/>
        <family val="2"/>
        <scheme val="minor"/>
      </rPr>
      <t xml:space="preserve"> NOC/SOC, telephony, internet connectivity, video conference</t>
    </r>
    <r>
      <rPr>
        <b/>
        <sz val="10"/>
        <color theme="1"/>
        <rFont val="Calibri"/>
        <family val="2"/>
        <scheme val="minor"/>
      </rPr>
      <t xml:space="preserve">
/
La fourniture de services de sécurité managés ou opérateur de services d'infrastructures
</t>
    </r>
    <r>
      <rPr>
        <b/>
        <u/>
        <sz val="10"/>
        <color theme="1"/>
        <rFont val="Calibri"/>
        <family val="2"/>
        <scheme val="minor"/>
      </rPr>
      <t>E</t>
    </r>
    <r>
      <rPr>
        <b/>
        <i/>
        <u/>
        <sz val="10"/>
        <color theme="1"/>
        <rFont val="Calibri"/>
        <family val="2"/>
        <scheme val="minor"/>
      </rPr>
      <t>xemple :</t>
    </r>
    <r>
      <rPr>
        <b/>
        <i/>
        <sz val="10"/>
        <color theme="1"/>
        <rFont val="Calibri"/>
        <family val="2"/>
        <scheme val="minor"/>
      </rPr>
      <t xml:space="preserve"> NOC/SOC, téléphonie, connectivité internet, video-conférence</t>
    </r>
  </si>
  <si>
    <t>I</t>
  </si>
  <si>
    <t>Access to/Management of sensitive/confidential data?
/
L'accès ou la gestion par le prestataire de données sensibles ou stratégiques ?</t>
  </si>
  <si>
    <t>Traité ailleurs</t>
  </si>
  <si>
    <t>J</t>
  </si>
  <si>
    <t>Access to/Management of personal data?
/
L'accès ou la gestion par le prestataire de données à caractère personnel ?</t>
  </si>
  <si>
    <t>K</t>
  </si>
  <si>
    <t>L</t>
  </si>
  <si>
    <t>M</t>
  </si>
  <si>
    <t>Does the service provided need a remote control to the Customer's Information System from the Provider' site?
/
La prestation nécessite une connexion à distance sur le Système d'Information du Client depuis les locaux du prestataire ?</t>
  </si>
  <si>
    <t>1 - GENERAL DATA MAPPING</t>
  </si>
  <si>
    <t>Information management</t>
  </si>
  <si>
    <t>Application access management</t>
  </si>
  <si>
    <t>Type of information</t>
  </si>
  <si>
    <t>Yes/No</t>
  </si>
  <si>
    <r>
      <t xml:space="preserve">WHERE </t>
    </r>
    <r>
      <rPr>
        <sz val="12"/>
        <color theme="0"/>
        <rFont val="Calibri"/>
        <family val="2"/>
        <scheme val="minor"/>
      </rPr>
      <t>the data will be stored ?</t>
    </r>
  </si>
  <si>
    <t>Number of records</t>
  </si>
  <si>
    <r>
      <t xml:space="preserve">WHO </t>
    </r>
    <r>
      <rPr>
        <sz val="12"/>
        <color theme="0"/>
        <rFont val="Calibri"/>
        <family val="2"/>
        <scheme val="minor"/>
      </rPr>
      <t>will access the information ?</t>
    </r>
  </si>
  <si>
    <t>Profil name</t>
  </si>
  <si>
    <r>
      <t xml:space="preserve">WHO </t>
    </r>
    <r>
      <rPr>
        <sz val="12"/>
        <color theme="0"/>
        <rFont val="Calibri"/>
        <family val="2"/>
        <scheme val="minor"/>
      </rPr>
      <t>will use the application ?</t>
    </r>
  </si>
  <si>
    <t>Number of end users</t>
  </si>
  <si>
    <t>Financial / Accounting</t>
  </si>
  <si>
    <t>Legal</t>
  </si>
  <si>
    <t>Security (logs, configuration, etc)</t>
  </si>
  <si>
    <t>Commercial</t>
  </si>
  <si>
    <t>Partner Information (B2B)</t>
  </si>
  <si>
    <t>Partner employee</t>
  </si>
  <si>
    <t>Employees Information</t>
  </si>
  <si>
    <t>End Customer information (B2C)</t>
  </si>
  <si>
    <t>Public data</t>
  </si>
  <si>
    <t>Other (give comments)</t>
  </si>
  <si>
    <t xml:space="preserve">Comments : </t>
  </si>
  <si>
    <t>Personal data</t>
  </si>
  <si>
    <t>Personal data : Type of information</t>
  </si>
  <si>
    <t>Comments</t>
  </si>
  <si>
    <t>Civil status, identity, identification data</t>
  </si>
  <si>
    <t>Physical appearance</t>
  </si>
  <si>
    <t>ID credentials (ID card number, passport, residence permit)</t>
  </si>
  <si>
    <t>Personal life (living habits, marital status, etc.)</t>
  </si>
  <si>
    <t>Professional life (résumé, education and professional training, awards, etc.)</t>
  </si>
  <si>
    <t>Economic and financial information (income, financial situation, tax situation, etc.)</t>
  </si>
  <si>
    <t>Connection data (IP addresses, event logs, etc.)</t>
  </si>
  <si>
    <t>Location data (travels, GPS data, GSM data, etc.)</t>
  </si>
  <si>
    <t>Social security number</t>
  </si>
  <si>
    <t>Biometric data</t>
  </si>
  <si>
    <t>Bank data (Credit card numbers)</t>
  </si>
  <si>
    <t>Philosophical, political, religious and trade-union views, sex life, health data, racial or ethnic origin, data concerning health or sex life</t>
  </si>
  <si>
    <t>Offenses, convictions, security measures</t>
  </si>
  <si>
    <t>Other sensitive personal data</t>
  </si>
  <si>
    <t>Data Retention Period</t>
  </si>
  <si>
    <t xml:space="preserve">3rd Party: 
Sephora Legal - Contract: </t>
  </si>
  <si>
    <t>2 - SECURITY ATTRIBUTES</t>
  </si>
  <si>
    <t>C (Confidentiality)</t>
  </si>
  <si>
    <t>I (Integrity)</t>
  </si>
  <si>
    <t>A (Availability)</t>
  </si>
  <si>
    <t>T (Traceability)</t>
  </si>
  <si>
    <t>P (Privacy)</t>
  </si>
  <si>
    <t>C (Compliance)</t>
  </si>
  <si>
    <t>3 - IMPACT ANALYSIS</t>
  </si>
  <si>
    <t>Topics</t>
  </si>
  <si>
    <t>Options</t>
  </si>
  <si>
    <t>4 - Strictly Confidential</t>
  </si>
  <si>
    <t>Information is restricted above Confidential level, to a designated, named group of individuals on a strictly need to know basis. This also includes categories such as Privileged data and sensitive personal data ( health, salary, political affiliation, etc.) where Legal teams must be consulted.</t>
  </si>
  <si>
    <t>What would be the impact of data disclosure?</t>
  </si>
  <si>
    <t>To employees</t>
  </si>
  <si>
    <t>3- Confidential</t>
  </si>
  <si>
    <t>Information is only available to a specific group of employees with a need to know – e.g. standard contracts or customer information. This also includes non-sensitive personal data.</t>
  </si>
  <si>
    <t>To a competitor</t>
  </si>
  <si>
    <t>2- Internal</t>
  </si>
  <si>
    <t>Information is only available to INTERNAL’s employees &amp; authorized external workers - e.g. training tools, policy, standards.</t>
  </si>
  <si>
    <t>To a supplier / sub-contractor</t>
  </si>
  <si>
    <t>1 - Low</t>
  </si>
  <si>
    <t>1- Public</t>
  </si>
  <si>
    <t>Public: information is available to the public - e.g. advertising, press releases.</t>
  </si>
  <si>
    <t>To the general public / Medias</t>
  </si>
  <si>
    <t>What would be the impact if data integrity is affected ?</t>
  </si>
  <si>
    <t>Data is definitely lost</t>
  </si>
  <si>
    <t>4- Enhanced</t>
  </si>
  <si>
    <t>No unauthorized modification tolerated</t>
  </si>
  <si>
    <t>Data is partailly damaged</t>
  </si>
  <si>
    <t>3- Strong</t>
  </si>
  <si>
    <t>Any unauthorized modification of the information must be identified and automatically reverted</t>
  </si>
  <si>
    <t xml:space="preserve"> If a production incident occurs, what would be the maximum acceptable data loss between the last backup the time of incident ?</t>
  </si>
  <si>
    <t>Recovery Point Objective</t>
  </si>
  <si>
    <t>2- Medium</t>
  </si>
  <si>
    <t>Any unauthorized modification of the information must be identified</t>
  </si>
  <si>
    <t>If a production incident occurs, what would be the maximum duration of an unavailability acceptable by business teams ?</t>
  </si>
  <si>
    <t>Recovery Time Objective</t>
  </si>
  <si>
    <t>1- Low</t>
  </si>
  <si>
    <t>No integrity required</t>
  </si>
  <si>
    <t>What would be the impact if you can't determine "who did what" (imputability of an operation) ?</t>
  </si>
  <si>
    <t>A posteriori in case of incident ?</t>
  </si>
  <si>
    <t>A (Availability) :  Recovery Time Objective</t>
  </si>
  <si>
    <t>At any moment (real or near real time) ?</t>
  </si>
  <si>
    <t>4- Very High</t>
  </si>
  <si>
    <t>30 Min</t>
  </si>
  <si>
    <t>3- High</t>
  </si>
  <si>
    <t>24 Hours</t>
  </si>
  <si>
    <t>4 - FEARED EVENTS</t>
  </si>
  <si>
    <t>2-Medium</t>
  </si>
  <si>
    <t>72 Hours</t>
  </si>
  <si>
    <t>In case of the compromission of the application, what are the business feared events that should be taken into account in security analysis</t>
  </si>
  <si>
    <t>1-Low</t>
  </si>
  <si>
    <t>Best Effort</t>
  </si>
  <si>
    <t>Business data disclosure</t>
  </si>
  <si>
    <t>Personal information disclosure</t>
  </si>
  <si>
    <t>Event related to authentication or right management on assets handing data or related to data modification must be traced, Logs are keept</t>
  </si>
  <si>
    <t>Internal fraud</t>
  </si>
  <si>
    <t>3- Detailed</t>
  </si>
  <si>
    <t>Event related to authentication or right management on assets handing data or related to data acess  must be traced, Logs are keept</t>
  </si>
  <si>
    <t>External fraud</t>
  </si>
  <si>
    <t>2-Basic</t>
  </si>
  <si>
    <t>Event related to authentication or right management on assets handing data must be traced, Logs are keept</t>
  </si>
  <si>
    <t>Service availability or business disruption</t>
  </si>
  <si>
    <t>No traces required</t>
  </si>
  <si>
    <t xml:space="preserve">Loss of data integrity </t>
  </si>
  <si>
    <r>
      <t>Other -</t>
    </r>
    <r>
      <rPr>
        <b/>
        <i/>
        <sz val="12"/>
        <color theme="0"/>
        <rFont val="Calibri"/>
        <family val="2"/>
        <scheme val="minor"/>
      </rPr>
      <t xml:space="preserve"> Specific to the project</t>
    </r>
  </si>
  <si>
    <t xml:space="preserve">No personal information is handled </t>
  </si>
  <si>
    <t>Identification data: email address,phone number, date of birth, gender…</t>
  </si>
  <si>
    <t>5 - RESERVED TO GISEC TEAM</t>
  </si>
  <si>
    <t>Personal life: lifestyle habits: wake up time, brightness, sound - noise, accelerometer data, temperature, humidity, particle levels …</t>
  </si>
  <si>
    <t>RISK ASSESSMENT</t>
  </si>
  <si>
    <t>INHERENT RISK</t>
  </si>
  <si>
    <t>SENSITIVENESS</t>
  </si>
  <si>
    <t xml:space="preserve">Professional life ( resume, training, diplomas, awards...) </t>
  </si>
  <si>
    <t>Impact</t>
  </si>
  <si>
    <t xml:space="preserve">Personal financial data (n°CB, RIB, income...) </t>
  </si>
  <si>
    <t>Likelyhood</t>
  </si>
  <si>
    <t>PCI-DSS Compliance</t>
  </si>
  <si>
    <t xml:space="preserve">Connection data (IP address, logs, cookies...) </t>
  </si>
  <si>
    <t>Location data (movements, GPS data, GSM...)</t>
  </si>
  <si>
    <t>Social Security Number, Unique Tax Number, Passport Number</t>
  </si>
  <si>
    <t>6 - FUTURE</t>
  </si>
  <si>
    <t>Data related to offences, convictions, security measures…</t>
  </si>
  <si>
    <t>NEXT STEPS</t>
  </si>
  <si>
    <t>TO DO</t>
  </si>
  <si>
    <t>STATUS</t>
  </si>
  <si>
    <t>Biometric, genetic, health, life, image (photo/video) data</t>
  </si>
  <si>
    <t>Please review and apply standard security requirements</t>
  </si>
  <si>
    <t>ALWAYS</t>
  </si>
  <si>
    <t>Data on racial or ethnic origin, political, philosophical or religious opinions</t>
  </si>
  <si>
    <t xml:space="preserve">Before any data is shared : work with Privacy/Legal team to ensure that NDA is signed. If needed put the relevant contract including privacy clause </t>
  </si>
  <si>
    <r>
      <t> </t>
    </r>
    <r>
      <rPr>
        <b/>
        <sz val="12"/>
        <color rgb="FFFFFFFF"/>
        <rFont val="Calibri"/>
        <family val="2"/>
        <scheme val="minor"/>
      </rPr>
      <t>C (Compliance)</t>
    </r>
  </si>
  <si>
    <t>Assess the security level of the partner-  3rd party assessment (LVMH Questionaire)</t>
  </si>
  <si>
    <t>Biometric, genetic, health, life, image (photo/video) data, Data on racial or ethnic origin, political, philosophical or religious opinions</t>
  </si>
  <si>
    <t>End customers sensitive personal information (Connection data , Social Security Number, etc.), Personal financial data (CB, payment terminal, etc.), Employees personal information (salary, n° CB, etc.)</t>
  </si>
  <si>
    <t>End customers Identification data (email address, phone number, date of birth, gender…) , confidential HR information, mandatory legal archiving (evidence to be used in court)</t>
  </si>
  <si>
    <t>Professional Identification data: email address, phone number, date of birth, gender…, mandatory legal archiving (evidence to be used in audits/regulatory controls)</t>
  </si>
  <si>
    <t>Legal archiving for internal controls</t>
  </si>
  <si>
    <t>3 - THIRD PARTY SECURITY POLICY</t>
  </si>
  <si>
    <t>Chapter
/
Chapitre</t>
  </si>
  <si>
    <t>N°</t>
  </si>
  <si>
    <t>Title
/
Titre</t>
  </si>
  <si>
    <t>Description of the requirement
/
Description de l'exigence</t>
  </si>
  <si>
    <t>Use cases (*)
/
Cas d'usage (*)</t>
  </si>
  <si>
    <t>Applicability
/
Applicabilité</t>
  </si>
  <si>
    <t>Compliance
/
Conformité</t>
  </si>
  <si>
    <t>Detailed implemented measures
/
Détails sur les mesures implémentées</t>
  </si>
  <si>
    <t>Optional comment on non compliant or partially compliant controls
/
Commentaire éventuel sur les mesures non ou partiellement conformes</t>
  </si>
  <si>
    <t>Framework for the contractual relationship
/
Cadrage de la relation contractuelle</t>
  </si>
  <si>
    <t>1.1</t>
  </si>
  <si>
    <t>Service provider’s Security Policy
/
Politique de Sécurité de la Société</t>
  </si>
  <si>
    <t>The service provider shall make its "Information System Security Policy" available to the client.
/
Le prestataire tient à la disposition du client sa « Politique de sécurité du système d'information ».</t>
  </si>
  <si>
    <t>B,C,D,E,F,G,H</t>
  </si>
  <si>
    <t>1.2</t>
  </si>
  <si>
    <t>Certifications</t>
  </si>
  <si>
    <t>If the service provider claims to have security certifications, it will make it available to the client, specifying their scope, the expiry date, the identity of the certifying body, the date of the last audit and the conclusions of that audit.
/
Si le prestataire dispose de certifications en matière de sécurité et souhaite s'en prévaloir, il tiendra à la disposition du client ces certifications en précisant leur périmètre, la date d’expiration, l’identité de l’organisme certificateur, la date du dernier audit et les conclusions de cet audit.</t>
  </si>
  <si>
    <t>C,D,E,F,H</t>
  </si>
  <si>
    <t>1.3</t>
  </si>
  <si>
    <t>Security Assurance Plan
/
Plan d'Assurance Sécurité</t>
  </si>
  <si>
    <t>The service provider shall submit a Security Assurance Plan (SAP) to the client which describes all of the security processes and solutions it will use to comply with the security requirements of the service provision. The SAP must be approved by the client and appended to the contract or order prior to the start of the contract.
The Security Assurance Plan is a document subject to change over the life of the contract. The service provider shall submit any proposed changes for approval by the client. Such revisions of the SAP may be approved, for example, at the steering committees planned during the service delivery.
The service provider undertakes to fulfil its security obligations in accordance with the Security Assurance Plan. The terms and conditions laid down by the SAP shall prevail over the service provider’s security documents.
/
Le prestataire soumet au client un Plan d’Assurance Sécurité (PAS) qui décrit l’ensemble des processus et dispositifs sécurité qu’elle met en œuvre pour respecter les exigences de sécurité de la prestation. 
Le PAS doit être approuvé par le client et annexé au contrat ou à la commande, préalablement au démarrage de la prestation.
Le PAS est un document susceptible d'évoluer au cours de la prestation. Le prestataire soumet des propositions d’évolutions qui doivent être validées par le client. Ces révisions du PAS peuvent être validées par exemple à l’occasion des Comités prévus pour le pilotage de la prestation.
Le prestataire s’engage à exécuter ses obligations vis-à-vis de la sécurité selon le PAS. Les conditions du PAS sont prioritaires par rapport aux documents de sécurité du prestataire.</t>
  </si>
  <si>
    <t>B, D, E, F, H</t>
  </si>
  <si>
    <t>1.4</t>
  </si>
  <si>
    <t>Legal reminder : Duty to advise
/
Rappel légal : Devoir de Conseil</t>
  </si>
  <si>
    <r>
      <t xml:space="preserve">The service provider shall be bound by a duty to advise and a duty to warn regarding security. In particular, whenever an operation is planned, it undertakes to notify the client of the security risks for data or for the IS and shall suggest measures to deal with such risks. This duty to advise shall be based on sound knowledge of the state of the art.
</t>
    </r>
    <r>
      <rPr>
        <b/>
        <u/>
        <sz val="11"/>
        <color theme="1"/>
        <rFont val="Calibri"/>
        <family val="2"/>
        <scheme val="minor"/>
      </rPr>
      <t>External link :</t>
    </r>
    <r>
      <rPr>
        <sz val="11"/>
        <color theme="1"/>
        <rFont val="Calibri"/>
        <family val="2"/>
        <scheme val="minor"/>
      </rPr>
      <t xml:space="preserve">
https://www.transatlantic-lawyer.com/the-obligation-of-information-and-the-duty-to-advise-in-contracts-under-french-law/
/
Le prestataire est tenu à une obligation de conseil et de mise en garde en matière de sécurité. En particulier, lorsqu'une opération est envisagée, il s’engage à informer le client sur les risques vis-à-vis de la sécurité des données ou du SI et propose des actions pour traiter ces risques. Ce devoir de conseil s’appuie sur une bonne connaissance de l’état de l’art.
</t>
    </r>
    <r>
      <rPr>
        <b/>
        <u/>
        <sz val="11"/>
        <color theme="1"/>
        <rFont val="Calibri"/>
        <family val="2"/>
        <scheme val="minor"/>
      </rPr>
      <t>Lien externe :</t>
    </r>
    <r>
      <rPr>
        <sz val="11"/>
        <color theme="1"/>
        <rFont val="Calibri"/>
        <family val="2"/>
        <scheme val="minor"/>
      </rPr>
      <t xml:space="preserve">
https://www.droit-technologie.org/actualites/lobligation-dinformation-du-prestataire-informatique-a-legard-de-son-client/</t>
    </r>
  </si>
  <si>
    <t>B, C, D, E, F, H</t>
  </si>
  <si>
    <t>Security related to Human Resources
/
Sécurité liée aux Ressources Humaines</t>
  </si>
  <si>
    <t>2.1</t>
  </si>
  <si>
    <t>Organisation</t>
  </si>
  <si>
    <r>
      <t xml:space="preserve">The service provider appoints one or several privileged points of contacts on the security topics in the comment cell.
</t>
    </r>
    <r>
      <rPr>
        <u/>
        <sz val="11"/>
        <color theme="1"/>
        <rFont val="Calibri"/>
        <family val="2"/>
        <scheme val="minor"/>
      </rPr>
      <t>Responsibility of this/these persons should covers:</t>
    </r>
    <r>
      <rPr>
        <sz val="11"/>
        <color theme="1"/>
        <rFont val="Calibri"/>
        <family val="2"/>
        <scheme val="minor"/>
      </rPr>
      <t xml:space="preserve">
- Implementation of the security policy and processes
- Protection against unauthorised access, data disclosure and the modification or destruction of content or systems
- Reporting of potential or known security risks or incidents
- Management of security incidents
Any specific demand from the customer regarding security must be deatl with diligence and with according priority level by the service provider.
/
Le prestataire désigne un ou des points de contact privilégiés sur les aspects sécurité dans la case commentaire.
</t>
    </r>
    <r>
      <rPr>
        <u/>
        <sz val="11"/>
        <color theme="1"/>
        <rFont val="Calibri"/>
        <family val="2"/>
        <scheme val="minor"/>
      </rPr>
      <t>Les responsabilités de cette ou ces personne(s) portent notamment sur :</t>
    </r>
    <r>
      <rPr>
        <sz val="11"/>
        <color theme="1"/>
        <rFont val="Calibri"/>
        <family val="2"/>
        <scheme val="minor"/>
      </rPr>
      <t xml:space="preserve">
- La mise en œuvre de sa politique et de ses processus de sécurité ;
- La protection contre des accès non autorisés, la divulgation de données, la modification ou la destruction de contenus ou de systèmes ;
- La notification de failles présumées ou avérées de sécurité ;
- La prise en charge des incidents de sécurité.
Toute demande spécifique du client relative à la sécurité doit être traitée avec diligence et de manière prioritaire par le prestataire.</t>
    </r>
  </si>
  <si>
    <t>2.2</t>
  </si>
  <si>
    <t>Training
/
Formation</t>
  </si>
  <si>
    <t>The service provider shall ensure that its staff responsible for the service delivery receive training on the relevant tools and security processes. It shall also provide the client with a description of its training programme.
/
Le prestataire veille à ce que son personnel chargé de la prestation de services reçoive une formation sur les outils et les processus de sécurité. Il fournira également au client une description de son programme de formation.</t>
  </si>
  <si>
    <t>2.3</t>
  </si>
  <si>
    <t>Awareness
/
Sensibilisation</t>
  </si>
  <si>
    <t>The service provider shall ensure that both its own staff and the staff of its subcontractors are fully informed and aware of the security requirements laid down by the contract.
/
Le prestataire veille à ce que son personnel et ceux de ses sous-traitants soient pleinement informés des exigences de sécurité contractuelles et soumis contractuellement à ces mêmes exigences.</t>
  </si>
  <si>
    <t>A, B, C, D, E, F, G, H, I, J, K, L, M, Z</t>
  </si>
  <si>
    <t>2.4</t>
  </si>
  <si>
    <t>Staff commitment
/
Engagement du personnel</t>
  </si>
  <si>
    <t>The service provider shall ensure that each member of its staff individually undertakes to keep the confidentiality of all types of sensitive information of which they may become aware when delivering the service.
/
Le prestataire garantit que ses personnels s’engagent individuellement à respecter la confidentialité de tout type d’information confidentielle qu’ils sont susceptibles de connaître dans le cadre de la prestation.</t>
  </si>
  <si>
    <t>Security Charter
/
Charte sécurité</t>
  </si>
  <si>
    <t>The service provider’s staff or the staff of its subcontractors carrying out work on the client’s premises shall comply with the client’s Security Charter  during the period or their missions.
/
Les personnels du prestataire ou de ses sous-traitants intervenant dans les locaux du client se conforment à la charte sécurité du système d'information du client dans le cadre de l’exercice de leur mission.</t>
  </si>
  <si>
    <t>2.5</t>
  </si>
  <si>
    <t>Hosting agreement
/
Convention d'accueil</t>
  </si>
  <si>
    <t>If members of the staff of the service provider have to work on the client’s premises for a long period, a tripartite hosting agreement must be signed between the client, the service provider and each o these members.
/
En cas de mission de longue durée dans les locaux du client, une convention d’accueil tripartite doit être signée entre le client, le prestataire et chaque membre du personnel du prestataire intervenant sur le site du client.</t>
  </si>
  <si>
    <t>2.6</t>
  </si>
  <si>
    <t>Charter for Administrators
/
Charte administrateurs</t>
  </si>
  <si>
    <t>If members of the service provider’s staff has to use privileged accounts to access to the client’s information system, those members must sign the charter dedicated to administrators and privileged users. This charter is provided by the client.
/
Si les comptes informatiques utilisés par les personnels du prestataire pour accéder au système d'information du client sont des comptes à privilèges, alors ces personnels doivent signer la charte dédiée aux administrateurs et détenteurs de comptes à privilèges, communiquée par le client au prestataire.</t>
  </si>
  <si>
    <t>B, C, D, E, F, H, M</t>
  </si>
  <si>
    <t>2.7</t>
  </si>
  <si>
    <t>Display of service provider status
/
Affichage du statut de prestataire</t>
  </si>
  <si>
    <t>The service provider’s staff shall not introduce themselves as staff of the client when delivering the service, both at meetings, on their CV or on social media, for example.
/
Les personnels du prestataire ne doivent pas se présenter comme des personnels du client dans le cadre de leur mission pour le client, que ce soit lors de réunions, sur leur CV ou sur les réseaux sociaux, par exemple.</t>
  </si>
  <si>
    <t>2.8</t>
  </si>
  <si>
    <t>Subcontracting
/
Sous-traitance</t>
  </si>
  <si>
    <t>The service provider shall not use any subcontractors without the explicit consent of the client. The client reserves the right to reject a subcontractor if it does not meet the client’s security requirements. The use of a subcontractor must not reduce the level of security governed by the scope of the contract entered into with the client. In all cases, the service provider shall accept sole liability to the client for any breaches of security within that scope and undertakes to subject any subcontractors to obligations similar to those laid down in the contract, wherever these are applicable.
/
Le prestataire ne peut recourir à un sous-traitant sans l’accord écrit et préalable du client. Le client se réserve la possibilité de refuser un sous-traitant si celui-ci ne répond pas aux exigences de sécurité du client. Le recours à ce sous-traitant ne doit pas être de nature à réduire le niveau de sécurité du périmètre objet du contrat avec le client. Dans tous les cas, le prestataire reste seul responsable vis-à-vis du client des atteintes à la sécurité sur ce périmètre et s'engage à soumettre ses éventuels sous-traitants à des obligations similaires à celles contenues dans le contrat, sous réserve de leur applicabilité (notamment les obligations relatives à la sécurité, la confidentialité, la protection des données, l'audit et l'assurance).</t>
  </si>
  <si>
    <t>A, B, C, D, E, F, G, H, I, J, K, L, M</t>
  </si>
  <si>
    <t>Confidentiality
/
Confidentialité</t>
  </si>
  <si>
    <t>3.1</t>
  </si>
  <si>
    <t>Autorisations</t>
  </si>
  <si>
    <t>The access rights of the service provider’s staff to the platforms it makes available to the client must be clearly defined, communicated to and approved by the client. The same shall apply to all access to the programs and content that the client installs, produces and uses on those platforms.
/
Les droits d’accès des personnels du prestataire aux plates-formes qu’elle met à disposition du client doivent être précisément définis, communiqués au client et validés par celui-ci. Il en est de même pour les accès éventuels aux programmes et aux contenus que le client va installer, produire et exploiter sur ces plates-formes.</t>
  </si>
  <si>
    <t>3.2</t>
  </si>
  <si>
    <t>Confidentiality agreement
/
Engagement de confidentialité</t>
  </si>
  <si>
    <t xml:space="preserve">The service provider shall take all necessary measures to ensure that none of the client’s content is disclosed to any unauthorised individual or legal entity. This obligation applies to all content, irrespective of the medium or nature, handled or exchanged when delivering the service. The confidentiality obligation also concerns all information of which disclosure is deemed to be a threat to the security of the system (passwords, data encryption keys and documentation regarding system architecture and security, etc.). 
/
Le prestataire s’engage à mettre tout en œuvre pour que les contenus du client ne soient pas divulgués à des personnes physiques ou morales non autorisées. Cet engagement concerne tous les contenus quel qu’en soit le support ou la nature, manipulés ou échangés dans le cadre de la prestation. L’engagement de confidentialité concerne aussi toute information dont la divulgation est de nature à porter atteinte à la sécurité du système (mots de passe, clés de chiffrement, documentations relative à l’architecture et la sécurité du système, etc.). </t>
  </si>
  <si>
    <t>3.3</t>
  </si>
  <si>
    <t>Disclosure to third parties
/
Communication à un tiers</t>
  </si>
  <si>
    <t>The service provider is not authorised to transfer any data or information about the contract, or obtained in connection with the delivery of the contract, to any third parties without the prior explicit consent of the client.
/
Le prestataire n’est pas autorisé à transférer des données ou des informations relatives au contrat ou obtenues dans le cadre de l’exercice du contrat à un tiers sans une autorisation préalable explicite du client.</t>
  </si>
  <si>
    <t>Identity and access management
/
Gestion des identités et des accès</t>
  </si>
  <si>
    <t>4.1</t>
  </si>
  <si>
    <t>Remote access to the client's information system
/
Accès distant au système d'information du Client</t>
  </si>
  <si>
    <t>In cases where remote operations are carried out by the service provider on the client’s resources , the service provider will always use nominative accounts allocated by the client. These accounts will be created on demand by the service provider. It must provide a list of the members of staff concerned and notify the client whenever a member of staff leaves, or whenever a new member of staff is allocated to the service. These accounts are strictly limited to a personal use and the service provider is responsaible of ensuring that these accounts will not be shared among its staff.
/
Dans le cas d’opérations réalisées à distance par le prestataire sur les systèmes d'information du client, le prestataire n'utilisera que des comptes nominatifs. Ces comptes pourront être créé sur demande du prestataire. Il devra fournir la liste des personnels concernés et informer le client dès qu’un personnel quitte la prestation ou le prestataire, ou dès qu’un nouveau personnel est affecté à la prestation. Ces comptes sont à usage strictement personnel et le prestataire est responsable de s'assurer que ces comptes ne seront pas partagés entre ses personnels.</t>
  </si>
  <si>
    <t>A, C, I, J, M</t>
  </si>
  <si>
    <t>4.2</t>
  </si>
  <si>
    <t>Revocation of accounts
/
Déprovisionnement des comptes</t>
  </si>
  <si>
    <t>The service provider shall ensure that anyone who is no longer part of its staff ceases to hold active accounts which might be used to access the client’s resources or the platforms made available to the client.
/
Le prestataire veille à ce que les personnes qui ne font plus partie de son personnel ne possèdent plus, au moment de leur départ de la société, de comptes actifs susceptibles d’être utilisés pour un accès au système d'information du client ou à des plates-formes mises à disposition du client.</t>
  </si>
  <si>
    <t>B, C, D, E, F, H, Z</t>
  </si>
  <si>
    <t>4.3</t>
  </si>
  <si>
    <t>Staff identification
/
Identification du personnel</t>
  </si>
  <si>
    <t>A list of the client’s members of staff authorised to request services from the service provider shall be drawn up together with a means of authenticating those persons. This rule shall also apply to the service provider’s members of staff who need to contact the client’s members of staff – for example, for validation purposes or regarding operations that the service provider needs to carry out.
The service provider shall create and regularly update a list of members of staff authorised to access the client’s data and/or to interact with the client’s resources, together with their level of authorisation (access types and client’s resources concerned). This list shall be made available to the client.
/
La liste des personnels du client autorisés à solliciter des services auprès du prestataire est définie ainsi qu'un moyen d'authentification de ces personnels. Cette règle s'applique réciproquement pour les personnels du prestataire qui doivent solliciter des personnels du client, par exemple à des fins de validation pour des opérations que doit mener le prestataire.
Le prestataire élabore et met à jour régulièrement une liste des personnels autorisés à accéder aux données du client et/ou à intervenir sur les ressources du client ainsi que leur niveau d’habilitation (types d’accès et ressources concernées du client). Cette liste est tenue à la disposition du client.</t>
  </si>
  <si>
    <t>4.4</t>
  </si>
  <si>
    <t>Segregation of duties
/
Ségrégation des tâches</t>
  </si>
  <si>
    <t>The service provider shall implement strict management of the separation of duties when allocating access rights to its staff.
/
Le prestataire met en œuvre une gestion rigoureuse de la ségrégation des tâches dans l'attribution des droits d'accès pour ses personnels.</t>
  </si>
  <si>
    <t>D, E, F, H</t>
  </si>
  <si>
    <t>4.5</t>
  </si>
  <si>
    <t>Password management
/
Gestion des mots de passe</t>
  </si>
  <si>
    <t>The service provider’s staff shall use strong passwords: minimum 12 characters for standard accounts and minimum 16 characters for privileged accounts. Passwords shall be changed at least every ninety (90) days. Passwords must be complex and contain at least letters, numbers and special characters.
The service provider’s members of staff undertake never to ask the client’s employees for their password when carrying out their work. If a user’s password is required in order to carry out a particular operation, the service provider’s staff must ask the user concerned to enter their password personally.
The service provider undertakes to ensure that the accounts and passwords used by its staff concerning specificly the client’s resources are specific to the client, and thus different from the accounts and passwords used for its other clients. Every equipment subject to remote monitoring or remote maintenance must have an account which is reserved for that purpose and for which the identification and authentication parameters are different from those of all other equipment.
/
Les personnels du prestataire utilisent des mots de passe robustes : 12 caractères a minima pour des comptes standard, 16 caractères minima pour des comptes à privilèges. L’âge de ces mots de passe n'excéde pas 90 jours. Ces mots de passe sont complexes et comportent a minima des lettres, chiffres et caractères spéciaux.
Les personnels du prestataire s’engagent à ne jamais demander leur mot de passe à des personnels du client, dans le cadre de leurs interventions. Par exemple, si la saisie d’un mot de passe d’un utilisateur est nécessaire pour mener à bien une intervention, les personnels du prestataire peuvent demander à l’utilisateur concerné de saisir lui-même son mot de passe.
Le prestataire s’engage à ce que les comptes et mots de passe utilisés par ses personnels et concernant spécifiquement le système d'information du client soient dédiés au client, donc différents des comptes et mots de passe utilisés pour ses autres clients. Chaque équipement objet d’une télésurveillance ou d’une télémaintenance doit disposer d’un compte réservé à cette fin et dont les paramètres d’identification et d’authentification sont différents de ceux de tout autre équipement.</t>
  </si>
  <si>
    <t>A, B, C, D, E, F, M, Z</t>
  </si>
  <si>
    <t>4.6</t>
  </si>
  <si>
    <t>Single Sign-On Authentication
/
Authentification Single Sign-On</t>
  </si>
  <si>
    <t>E, F, G</t>
  </si>
  <si>
    <t>4.7</t>
  </si>
  <si>
    <t>Default accounts and passwords
/
Comptes et mots de passe par défaut</t>
  </si>
  <si>
    <t>All default privileged accounts amust be disabled, deleted or renamed. A least, default passwords associated with these accounts must be replaced by strong passords meeting rule 5.8. Storage of these passwords must be secure (ex: electronic safe solution).
/
Tous les comptes à privilèges par défaut doivent être supprimés, désactivés ou renommés. A minima les mots de passe par défaut associés à ces comptes doivent être remplacés par des mots de passe conformes à la règle "Gestion des mots de passe". Le stockage de ces mots de passe doit être fait de façon sécurisée (par exemple : coffre-fort logiciel à mots de passe).</t>
  </si>
  <si>
    <t>B, C, D, E, F, M</t>
  </si>
  <si>
    <t>Traceability
/
Traçabilité</t>
  </si>
  <si>
    <t>5.1</t>
  </si>
  <si>
    <t>Logging
/
Activation des traces</t>
  </si>
  <si>
    <t>Logging shall be enabled on all components implemented or accessed by the service provider. Events will be recorded and timestamped in those logs.
/
Une journalisation est activée sur tous les composants mis en œuvre ou accédés par le prestataire. Les événements sont enregistrés et horodatés dans ces journaux.</t>
  </si>
  <si>
    <t>C, D, E, F, H</t>
  </si>
  <si>
    <t>5.2</t>
  </si>
  <si>
    <t>Minimal content of the logs
/
Contenu minimal des traces</t>
  </si>
  <si>
    <t xml:space="preserve">Logs shall contain type of operation (connection, file access…), user identification, network address, date and time, failed operations and component involved.
/
Le détail des traces capturées contient le type d'activité réalisée (ouverture de session, accès à un fichier,…), l'identification de l'utilisateur, l'adresse réseau, la date et l'heure, les échecs et les composants système ou applicatif affecté. </t>
  </si>
  <si>
    <t>5.3</t>
  </si>
  <si>
    <t>Type of event logged
/
Type d'événement tracé</t>
  </si>
  <si>
    <t>Logging strategy enables to get the following events : individual user accesses, rejected accesses to systems, files or data, privileged accesses, configuration changes, authorizations changes, data removal, activation or deactivation of security components.
/
La stratégie de traçabilité permet de récupérer les évènements suivants :  les accès utilisateurs individuels, tentatives d'accès rejetées au système, à l'application, au fichier ou aux données applicatives, les accès à privilèges, les changements de configuration système ou applicative, le changement des niveaux d'habilitation, la suppression de données, l'activation ou la désactivation des système de sécurité.</t>
  </si>
  <si>
    <t>5.4</t>
  </si>
  <si>
    <t>Use and retention of logs
/
Exploitation et rétention des traces</t>
  </si>
  <si>
    <t>The client will be able to retrieve and use logs either:
- In real time, or near real-time
OR
- On demand.
In all cases, the service provider shall retain logs for a period of no less than six (6) months.
/
Les traces sont récupérables et exploitables par le client soit :
- En temps réel ou quasi en temps réel
- À la demande. 
Dans tous les cas, la conservation des traces par le prestataire est assurée avec une antériorité qui ne saurait être inférieure à 6 mois.</t>
  </si>
  <si>
    <t>5.5</t>
  </si>
  <si>
    <t>Provision of logs
/
Mise à disposition des traces</t>
  </si>
  <si>
    <t>In the case of on-demand access, the service provider must provide the client with the logs or extracts from the logs within a period agreed in the contract. If the demands comes within the frame of an investigation caused by a security incident, the service provider will work diligently with a priority level adapted to the emergency of the situation caused by the incident.
/
Dans le cas d’un accès à la demande, des traces ou des extraits des traces doivent être remis au client par le prestataire sous un délai convenu entre les Parties. Si la demande est émise dans le cadre d'investigation déclenchée par un incident de sécurité, le prestataire travaillera en bonne intelligence avec un niveau de priorité adapté à la mesure de l'urgence de la situation générée par l'incident.</t>
  </si>
  <si>
    <t>5.6</t>
  </si>
  <si>
    <t>Confidentiality of logs
/
Confidentialité des traces</t>
  </si>
  <si>
    <t>The parts of the logs which refer to the client are confidential and shall never be disclosed to another client.
/
Les parties des journaux qui concernent le client sont confidentielles et ne doivent en aucun cas être divulguées à un autre client.</t>
  </si>
  <si>
    <t>5.7</t>
  </si>
  <si>
    <t>Integrity of logs
/
Intégrité des traces</t>
  </si>
  <si>
    <t>The service provider guarantees that all information in the logs can be acceptable according to the state of art (reliable timestamp, logs saved, etc.).
/
Le prestataire certifie que toutes les informations présentes sur les traces sont exploitables au regard de l’état de l’art (horodatage fiable, traces sauvegardées, etc.).</t>
  </si>
  <si>
    <t>Data protection
/
Protection des données</t>
  </si>
  <si>
    <t>6.1</t>
  </si>
  <si>
    <t>Use of data
/
Exploitation des données</t>
  </si>
  <si>
    <t>The service provider shall implement technical and organisational measures to prevent extraction of data by its staff (e.g. export of a copy of the database from a workstation used for administrative tasks).
/
Le prestataire met en œuvre des mesures techniques et organisationnelles pour empêcher des extractions d’information par des personnels (ex. extraction d’une copie de la base de données à partir d’un poste utilisé par ses personnels pour des tâches d'administration).</t>
  </si>
  <si>
    <t>I, J, Z</t>
  </si>
  <si>
    <t>6.2</t>
  </si>
  <si>
    <t>Encryption
/
Chiffrement</t>
  </si>
  <si>
    <t>The service provider must protect the confidentiality and integrity of the data by encrypting all communications flows with encryption algorithms and protocols that meet current and non-obsolete security standards (eg replacement of SSL by TLS).
Unencrypted communication flow (FTP, HTTP, etc.) are not allowed.
The service provider must protect the encryption keys (e.g. use of a safe)
/
Le prestataire doit protéger la confidentialité et l’intégrité des données en chiffrant tous les flux avec les algorithmes et protocoles de chiffrement répondants aux standards sécurités actuels et non obsolètes (ex. remplacement de SSL par TLS).
Les flux non chiffrés (FTP, HTTP, etc.) ne sont pas autorisés.
Le prestataire doit protéger les clés de chiffrement (ex. utilisation d'un coffre fort)</t>
  </si>
  <si>
    <t>I, J</t>
  </si>
  <si>
    <t>6.3</t>
  </si>
  <si>
    <t>Production data
/
Données de production</t>
  </si>
  <si>
    <t xml:space="preserve">The service provider shall establish procedures to ensure that no production data is replicated in non-production environments and that only fictitious data is used for test and acceptance purposes, unless the client has explicitly specified otherwise and validated in writing.
/
Le prestataire met en place des procédures pour s’assurer que des données de production ne soient pas répliquées dans des environnements hors production et que seules des données fictives ou anonymisées soient utilisées à des fins de test et de recette, sauf si le client a donné par écrit et préalablement un avis contraire.  </t>
  </si>
  <si>
    <t>6.4</t>
  </si>
  <si>
    <t>Data backup
/
Sauvegarde</t>
  </si>
  <si>
    <t>Based on the requirements regarding the availability and integrity of data, the service provider shall implement, supervise and regularly test a replication and backup system for the data it hosts. The backup plan (frequency, type, scope, retention, test...) is described in a documentation and must be provided to the client on demand.
/
Le prestataire met en œuvre, supervise et teste régulièrement un dispositif de réplication et de sauvegarde des données qu'elle héberge. Le Plan de sauvegarde (fréquence, nature, périmètre, rétention, test...) est documenté et doit être fourni au Client sur demande.</t>
  </si>
  <si>
    <t>6.5</t>
  </si>
  <si>
    <t>Disposal
/
Mise au rebut</t>
  </si>
  <si>
    <t>Disposal of equipment used for data storage shall be subject to a prior destruction of data using deletion tools which prevent the recovery of data by a third party.
/
La mise au rebut de matériels assurant le stockage de données doit faire l’objet d’une destruction préalable des données à l’aide d’outils d’effacement empêchant la récupération des données par un tiers.</t>
  </si>
  <si>
    <t>6.6</t>
  </si>
  <si>
    <t>Information security exchange
/
Sécurité des échanges</t>
  </si>
  <si>
    <t>It is recommended not to exchange confiential information by mail. Should such exchanges occur, attachments containing sensitive data must be encrypted and the key sent via another channel of communication (orally, for instance). It is nevertheless preferable to use exchange file solutions other than mail for sensitive data. It is forbidden to use public solutions, such as WeTransfer, SwissTranser, Google Drive, etc.
/
Il est recommandé de ne pas transmettre d'informations confidentielles par mail. Si de tels échanges ont lieu, les pièce-jointes contenant des données sensibles doivent être chiffrées et les mots de passe / clés de chiffrement doivent être transmis via un autre canal de communication que le mail (ex. SMS).
Il est préférable d'utiliser des solutions d'échanges de fichiers autre que les mails pour ce qui concerne les données sensibles. 
Il est interdit d'utiliser des solutions publiques tels que WeTransfer, SwissTransfer, Google Drive, etc.</t>
  </si>
  <si>
    <t>I, Z</t>
  </si>
  <si>
    <t>6.7</t>
  </si>
  <si>
    <t>Storage
/
Stockage</t>
  </si>
  <si>
    <t>For service delivery requiring storage, the client and the service provider shall agree on a secure storage solution. The service provider shall ensure that the solution, whether or not it is the owner of that solution, is not vulnerable, that it has no open ports which might constitute a security flaw and that access is protected using strong passwords.
/
Dans le cadre de missions nécessitant des zones de stockage, le client et le prestataire conviennent d’une solution de stockage sécurisée. Le prestataire veille à ce que cette solution, qu'elle en soit propriétaire ou non, ne soit pas vulnérable, qu’elle ne comporte pas de ports ouverts pouvant constituer une faille de sécurité et que les accès à cette solution soient protégés par des mots de passe robustes.</t>
  </si>
  <si>
    <t>6.8</t>
  </si>
  <si>
    <t>Regulatory compliance
/
Conformité réglementaire</t>
  </si>
  <si>
    <t>The service provider shall ensure protection of the personal data that it hosts or might access when delivering the service. In particular, it undertakes to comply with regulations about the processing of personal data.
/
Le prestataire assure la protection des données à caractère personnel qu’elle héberge ou auxquelles elle peut accéder dans le cadre de sa mission. Notamment elle s’engage à respecter la réglementation applicable en matière de protection des données personnelles.</t>
  </si>
  <si>
    <t>Infrastructure security
/
Sécurité de l'infrastructure</t>
  </si>
  <si>
    <t>7.1</t>
  </si>
  <si>
    <t>Documentation</t>
  </si>
  <si>
    <t>The service provider shall ensure an up-to-date documentation and inventory of assets for which it is responsible on behalf of the client or the platforms it makes available to the client within the context of the contract.
/
Le prestataire doit assurer une mise à jour des documentations et des inventaires des ressources concernant les composants qu’elle prend en charge pour le compte du client ou des plates-formes qu’elle met à disposition du client dans le cadre de la prestation.</t>
  </si>
  <si>
    <t>7.2</t>
  </si>
  <si>
    <t>Networks
/
Réseaux</t>
  </si>
  <si>
    <t>All flows must be encrypted using reliable protocols (SSH, TLS, IPsec, etc.) which guarantee the confidentiality and integrity of data. This is particularly important for any flow transiting over a public network.
/
Tous les flux doivent être chiffrés par des procédés fiables (SSH, TLS, IPsec, etc.), garantissant la confidentialité et l’intégrité des données. Cela est particulièrement important pour tous les flux circulant sur un réseau public.</t>
  </si>
  <si>
    <t>7.3</t>
  </si>
  <si>
    <t>Interfaces and back office
/
Interfaces et backoffice</t>
  </si>
  <si>
    <t>Exchange of data between different components of the information system of the service provider and/or the client, shall reliable on secure mechanisms for transport (encryption protocol) and authentication. These mechanisms must be regularly updated.
/
La mise en œuvre d’échanges de données entre différents composants du système d'information du prestataire et/ou du client, doit s'appuyer sur des mécanismes sécurisés au niveau du transport (chiffrement des communications) et de l’authentification. Ces dispositifs doivent être maintenus à jour.</t>
  </si>
  <si>
    <t>C, D, E, F, H, M</t>
  </si>
  <si>
    <t>7.4</t>
  </si>
  <si>
    <t>Scope of access
/
Périmètre d'accès</t>
  </si>
  <si>
    <t>The service provider undertakes to access only to the systems required for the service delivery.
/
Le prestataire s’engage à n’accéder qu’aux systèmes nécessaires à l’exercice de sa mission.</t>
  </si>
  <si>
    <t>7.5</t>
  </si>
  <si>
    <t>Connection on the client’s premises
/
Connexions sur le site du Client</t>
  </si>
  <si>
    <t>The service provider commits not to connect their workstations to the local network on the customer's premises. The use of internal network is strictly reserved to the devices provided by the customer.
/
Le prestataire s'engage à ne peut pas connecter au réseau ses matériels informatiques dans les locaux du client. L'utilisation du réseau interne du client est réservé au matériel fourni par celui-ci.</t>
  </si>
  <si>
    <t>C, D, H</t>
  </si>
  <si>
    <t>7.6</t>
  </si>
  <si>
    <t>Guest connection
/
Connexion invité</t>
  </si>
  <si>
    <t>The service provider’s staff working on a short-term mission shall use, when available, guest Internet access provided by the client and dedicated to temporary third-party connections. They must undertake to comply with the guest charter governing this Internet access prior to establishing any connection to the Internet and shall comply with the security measures in place, such as proxies and URL filtering.
/
Les personnels du prestataire en mission de courte durée utiliseront, lorsqu’elles existent, des connexions à Internet de type Guest sur des réseaux du client, dédiés à des connexions occasionnelles de tiers. Ils devront valider la charte d’usage de ces réseaux préalablement à toute connexion sur Internet et respecter les dispositifs de sécurité mis en place tels que des proxys et filtres d’URL par exemple.</t>
  </si>
  <si>
    <t>7.7</t>
  </si>
  <si>
    <t>Workstations and mobility
/
Poste de travail et mobilité</t>
  </si>
  <si>
    <t>The service provider undertakes to secure the fixed and mobile workstations used by its own staff and the staff of its subcontractors for the provision of the services in order to ensure that such devices do not give rise to any security flaws. Access to the client’s data using mobile devices must be strictly controlled, whether such devices are owned by the service provider, its subcontractors or its/their employees. The storage of data belonging to the client on such devices – even temporarily – shall be subject to the prior consent of the client. The devices must be protected against intrusion or the disclosure of information in the event of theft.
/
Le prestataire s’engage à sécuriser les postes de travail fixes et mobiles utilisés par ses personnels et ceux de ses sous-traitants pour l’exécution des prestations, afin que ces matériels ne soient pas à l’origine d’une faille de sécurité. L’accès à des données du client à travers un matériel mobile doit être strictement contrôlé, que ce matériel soit la propriété du prestataire ou de ses sous-traitants ou bien qu’il soit la propriété de ses/leurs personnels. Le stockage de données appartenant au client sur ces matériels, même temporaire, doit faire l'objet d'un accord écrit et préalable du client.  Ces matériels doivent être protégés contre les intrusions logiques ou la divulgation d’informations en cas de vol.</t>
  </si>
  <si>
    <t>A, B, C, D, E, F, G, H</t>
  </si>
  <si>
    <t>Hosting
/
Hébergement</t>
  </si>
  <si>
    <t>8.1</t>
  </si>
  <si>
    <t>Territoriality
/
Territorialité</t>
  </si>
  <si>
    <t>Based on the risk analysis conducted by the client, the contract may require that those sites be located in a specific region. In particular, the hosting of its data or of the staff accessing that data must be within the European Union.
/
Les données ou les personnels accédant à des données personnelles de personnes issues de l'Union Européenne doivent être localisées sur le sol de l'Union Européenne.</t>
  </si>
  <si>
    <t>8.2</t>
  </si>
  <si>
    <t>Physical and environmental security
/
Sécurité physique et environnementale</t>
  </si>
  <si>
    <t>The service provider must ensure the security of hosting sites both in terms of physical access to the premises (24/7 surveillance, anti-intrusion systems, control and recording of access by security guards, airlock doors and means of identification, physical protection of equipment, locking of doors and windows, etc.) and in terms of environmental security (telecommunications, electrical protection and backup power, air conditioning, protection against fire, lightning and water damage, detectors and alarms). The service provider shall make a description of these measures available to the client.
/
Le prestataire doit assurer la sécurité des lieux d’hébergement sur le plan de l’accès physique aux locaux (surveillance des locaux 24/7, dispositifs anti-intrusion, contrôle et enregistrement des accès par gardiennage, sas et moyen d'identification, protection physique des équipements, verrouillage des baies, etc.) et de la sécurité environnementale (télécommunications, protection et redondances électriques, climatisation, protection contre l’incendie, la foudre et les dégâts des eaux, détecteurs et alarmes). le prestataire tient à disposition du client une description de ces dispositifs.</t>
  </si>
  <si>
    <t>C, D, E, F</t>
  </si>
  <si>
    <t>8.3</t>
  </si>
  <si>
    <t>Security of hosted systems
/
Sécurité des systèmes hébergés</t>
  </si>
  <si>
    <t>The service provider shall ensure network partitioning and the integrity of the servers and workstations that it hosts through the application of patches, system hardening, malware protection, and intrusion detection and prevention tools, etc.
/
Le prestataire assure le cloisonnement des réseaux et l’intégrité des serveurs et postes de travail qu'elle héberge : application des correctifs, durcissement système, lutte contre les logiciels malveillants, outils de détection et de protection contre les intrusions, etc.</t>
  </si>
  <si>
    <t>8.4</t>
  </si>
  <si>
    <t>Separation of clients
/
Séparation entre Clients</t>
  </si>
  <si>
    <r>
      <t xml:space="preserve">The service provider shall implement technical and organisational measures to physically and/or logically separate the client’s environment from those of other clients. This separation prevents, firstly, confusion of the client’s data with that of other clients and thus a loss of confidentiality and, secondly, collateral damage in the event of a loss of availability or integrity occurring within other clients’ environments. The service provider shall make a description of these measures available to the client.
/
Le prestataire met en œuvre des dispositifs techniques et organisationnels pour séparer physiquement </t>
    </r>
    <r>
      <rPr>
        <b/>
        <u/>
        <sz val="11"/>
        <color theme="1"/>
        <rFont val="Calibri"/>
        <family val="2"/>
        <scheme val="minor"/>
      </rPr>
      <t>et/ou</t>
    </r>
    <r>
      <rPr>
        <sz val="11"/>
        <color theme="1"/>
        <rFont val="Calibri"/>
        <family val="2"/>
        <scheme val="minor"/>
      </rPr>
      <t xml:space="preserve"> logiquement l’environnement du client des environnements d’autres clients. Cette séparation permet d’éviter d’une part que des données du client et celles d’autres clients puissent être confondues et entraîner une perte de confidentialité, un dommage collatéral en cas de perte de disponibilité ou d’intégrité survenant chez d’autres clients. Le prestataire tient à disposition du client une description de ces dispositifs.</t>
    </r>
  </si>
  <si>
    <t>8.5</t>
  </si>
  <si>
    <t>Virtualisation security
/
Sécurité de la virtualisation</t>
  </si>
  <si>
    <t>If the service relies on virtualisation technology and is shared between different clients, then the service provider shall guarantee software isolation between the virtual environments of its different clients and shall ensure that all virtualisation tools are updated with the latest security patches.
/
Si le prestataire s’appuie sur des technologies de virtualisation et qu’elle assure des services mutualisés entre différents clients, elle garantit alors une compartimentation logique entre les environnements virtuels de ses différents clients et elle veille à ce que les outils de virtualisation bénéficient des derniers correctifs de sécurité.</t>
  </si>
  <si>
    <t>Resilience and level of service
/
Continuité et niveau de service</t>
  </si>
  <si>
    <t>9.1</t>
  </si>
  <si>
    <t>Business Continuity Plan and Disaster Recovery Plan
/
Plan de continuité et de reprise d'activité</t>
  </si>
  <si>
    <t>The service provider shall implement measures to ensure continuity and shall implement Disaster Recovery Plan compliant with contractual clauses. The service provider tests this DRP periodically. At the request of  the client, and at agreed dates, the client will particpate to the testing of the Plan in order to measure service performance.
/
Le prestataire met en œuvre des dispositifs assurant la continuité d'activité et élabore un Plan de Reprise d'Activité conformément aux exigences contractuelles. Il procède régulièrement à des tests de ce Plan. A la demande du client et à des dates convenues entre les Parties, le prestataire participera au test du Plan par le client, au titre de la mesure de la performance du service.</t>
  </si>
  <si>
    <t>Security incidents
/
Incidents de sécurité</t>
  </si>
  <si>
    <t>10.1</t>
  </si>
  <si>
    <t>Reporting of incidents
/
Notification des incidents</t>
  </si>
  <si>
    <t>The service provider undertakes to notify the client, at the earliest opportunity and in any case no later than seventy-two (72) hours after detection, of any known security incidents, any detection of flaws or vulnerabilities, any detection of suspicious events which might affect the security of the client’s Information System or it's data, and of which the service provider might become aware. This also concerns the Information System of the service provider if it is in connection with the customer's one. Such incidents may include, but are not limited to, unavailability, attempted or successful intrusion, site defacement, data exposure or leakage, fraud or attempted fraud and identity theft.
/
Le prestataire s’engage à notifier au client dans les plus brefs délais, et dans tous les cas jamais après plus de 72 heures, toute faille de sécurité avérée, toute détection  de vulnérabilité, toute détection d’évènement suspect pouvant porter atteinte à la sécurité du SI du client ou à ses données et dont ils auraient connaissance. Cela concerne le système d'information du prestataire lui-même, si celui-ci est en lien avec le client. Ces incidents peuvent être, sans que cette liste ne soit exhaustive, des indisponibilités, des tentatives d’intrusion ou des intrusions avérées, des défigurations de sites, des expositions ou des fuites de données, des fraudes ou des tentatives de fraude, des usurpations d’identité, etc.</t>
  </si>
  <si>
    <t>Security of developments
/
Sécurité des développements</t>
  </si>
  <si>
    <t>11.1</t>
  </si>
  <si>
    <t>State of the art
/
Etat de l'art</t>
  </si>
  <si>
    <t>The service provider shall ensure the security of developments in accordance with the current state of the art in the technologies it has chosen to implement. The development of web applications must be based on OWASP recommendations and take into account the OWASP top ten risks.
/
Le prestataire assure la sécurité des développements conformément à l’état de l’art actuel des technologies qu’il a choisi de mettre en œuvre. Le développement d’applications de type Web doit s’appuyer sur les recommandations de l’OWASP et prendre en compte les dix principaux risques identifiés par l'OWASP.</t>
  </si>
  <si>
    <t>11.2</t>
  </si>
  <si>
    <t>Patches
/
Correctifs</t>
  </si>
  <si>
    <t>Developments shall be regularly adapted to the recommendations and patches released by the publishers of the environments on which they rely.
/
Les développements sont régulièrement adaptés aux recommandations et correctifs des éditeurs des environnements sur lesquels ils s’appuient.</t>
  </si>
  <si>
    <t>11.3</t>
  </si>
  <si>
    <t>Best practices
/
Bonnes pratiques</t>
  </si>
  <si>
    <t>The application shall follow the principle of least privilege. Access to administrator functions must be secure. Strict control of user inputs and effective error management shall be implemented. The use of passwords inside the application’s code is prohibited.
/
L’application respecte le principe du moindre privilège. L’accès aux fonctions d’administration est sécurisé. Un contrôle rigoureux des entrées utilisateurs et une gestion efficace des erreurs sont assurés. Il est interdit d’utiliser des mots de passe dans le code de l’application.</t>
  </si>
  <si>
    <t>11.4</t>
  </si>
  <si>
    <t>Environments
/
Environnements</t>
  </si>
  <si>
    <t>Audit</t>
  </si>
  <si>
    <t>12.1</t>
  </si>
  <si>
    <t>Internet exposure
/
Exposition internet</t>
  </si>
  <si>
    <t>In order to prevent data leakage, the client reserves the right to check that there are no vulnerabilities (actively and passively) in the systems used by the service provider for the storage of data which concerns the client and which are accessible through the Internet.
Workload tests and penetration tests are not part of this requirement.
/
Afin d'éviter les fuites de données, le client se réserve le droit de vérifier qu'il n'y a pas de vulnérabilités (de manière active et passive) dans les systèmes utilisés par le prestataire pour le stockage des données qui le concernent et qui sont accessibles via Internet.
Les tests de charge et les tests d'intrusion ne rentrent pas dans le cadre de cette exigence.</t>
  </si>
  <si>
    <t>DMARC Policy Compliance
/
Conformité à la politique DMARC</t>
  </si>
  <si>
    <t>E,F,G</t>
  </si>
  <si>
    <t>Web Application Firewall (WAF) Availability
/
Présence d’un pare-feu applicatif (WAF)</t>
  </si>
  <si>
    <t>Data Retention and Right to Erasure
/
Purge des données et droit à l’oubli</t>
  </si>
  <si>
    <t>ASSESSMENT / EVALUATION</t>
  </si>
  <si>
    <t>Applicability / Applicabilité</t>
  </si>
  <si>
    <t>Chapter</t>
  </si>
  <si>
    <t>General questions</t>
  </si>
  <si>
    <t>Questions générales</t>
  </si>
  <si>
    <t>Reference document / Document de référence</t>
  </si>
  <si>
    <r>
      <t xml:space="preserve">Assessment / Evaluation </t>
    </r>
    <r>
      <rPr>
        <b/>
        <i/>
        <sz val="14"/>
        <color theme="0"/>
        <rFont val="Calibri"/>
        <family val="2"/>
        <scheme val="minor"/>
      </rPr>
      <t>(by SEPHORA)</t>
    </r>
  </si>
  <si>
    <t>Applicable</t>
  </si>
  <si>
    <t>INFORMATION SECURITY POLICY / POLITIQUE DE SECURITE DE L'INFORMATION</t>
  </si>
  <si>
    <t>POL-01</t>
  </si>
  <si>
    <t>Do you have a general Information Security Policy ? 
Is it available for reading (URL, attached file) ?
Please could you provide the PSSI to LVMH team security ?</t>
  </si>
  <si>
    <t>Possédez-vous une Politique générale Sécurité (PSSI)? 
Est-elle disponible pour consultation (URL, fichier attaché)? 
Pourriez-vous transférer votre PSSI lors de l'envoi de votre réponse à l'équipe de sécurité de LVMH ?</t>
  </si>
  <si>
    <t>POL-01-1</t>
  </si>
  <si>
    <t>Have you set up an IT/cyber risk management process (formalised, equipped, monitored)? 
Do you have action plans to monitor these risks?</t>
  </si>
  <si>
    <t>Avez-vous mis en place un processus (formalisé, outillé, contrôlé) de gestion des risques IT/cyber? 
Est-ce que vous avez des plans de suivi d'actions de ces risques?</t>
  </si>
  <si>
    <t>POL-01-2</t>
  </si>
  <si>
    <t>Have you implemented a "security by design" management process (formalised, equipped, monitored) in all your internal projects ?
Is this process put in place for each new project?
Please could you list the steps of the process in place?</t>
  </si>
  <si>
    <t>Avez-vous mis en place un processus (formalisé, outillé, contrôlé) de gestion "security by design" pour l'ensemble de vos projets internes?
Est-ce que ce processus est mis en place pour chaque nouveau projet?
Pouvez-vous lister les étapes du processus en place?</t>
  </si>
  <si>
    <t>INFORMATION SECURITY ORGANIZATION / ORGANISATION DE LA SECURITE DE L'INFORMATION</t>
  </si>
  <si>
    <t>ORG-01</t>
  </si>
  <si>
    <t>Cie Nationality / Head Office Name and Nationality</t>
  </si>
  <si>
    <t>Nationalité / Nom de la société et localisation du Siège de la Société</t>
  </si>
  <si>
    <t>ORG-02</t>
  </si>
  <si>
    <t>Member of a Group of companies / Controlling shareholder / international coverage</t>
  </si>
  <si>
    <t>Appartenance à un groupe d'entreprise / Actionnaire majoritaire / Présence internationale</t>
  </si>
  <si>
    <t>ORG-03</t>
  </si>
  <si>
    <t>Company's headcount</t>
  </si>
  <si>
    <t>Effectifs de la société</t>
  </si>
  <si>
    <t>ORG-04</t>
  </si>
  <si>
    <t>IT headcount</t>
  </si>
  <si>
    <t>Effectifs des équipes IT</t>
  </si>
  <si>
    <t>ORG-05</t>
  </si>
  <si>
    <t>Cybersecurity headcount</t>
  </si>
  <si>
    <t>Effectifs des équipes cyber sécurité</t>
  </si>
  <si>
    <t>ORG-06</t>
  </si>
  <si>
    <t>Person in charge of security of the solution / the services (email contact)</t>
  </si>
  <si>
    <t>Responsable de la sécurité pour la sécurité de l'offre (préciser l'adresse de contact)</t>
  </si>
  <si>
    <t>ORG-07</t>
  </si>
  <si>
    <t>Chief Information Security Officer of the company</t>
  </si>
  <si>
    <t>Responsable cybersécurité pour la sécurité globale de l'entreprise (RSSI/CISO)</t>
  </si>
  <si>
    <t>ORG-08</t>
  </si>
  <si>
    <t>Company security certificates - detailed scope and certifying body
Can you please provide certificates to LVMH team security?</t>
  </si>
  <si>
    <t>Certifications sécurité de la société - Préciser le périmètre et organisme certificateur 
Pouvez-vous nous transmettre le(s) certificat(s)  lors de l'envoi de votre réponse à l'équipe de sécurité de LVMH?</t>
  </si>
  <si>
    <t>ORG-09</t>
  </si>
  <si>
    <t>How often do you assess the maturity of your cybersecurity? 
On the basis of which framework (e.g. CIS20, internal framework) ? 
Is this assessment done by a third party?
Do you monitor cyber threats? (describe briefly)</t>
  </si>
  <si>
    <t>A quelle fréquence, procédez-vous à une évaluation de la maturité de votre cybersécurité ? 
Sur la base de quel framework (ex : CIS20, framework interne) ?  
Cette évaluation est-elle accompagnée par un tiers ?
Est-ce que vous réalisez des veilles sur les menaces cyber? Quelle(s) méthode(s) utilisez-vous?</t>
  </si>
  <si>
    <t>ORG-10</t>
  </si>
  <si>
    <t>Is information security integrated into the project management method(s)? Please specify.</t>
  </si>
  <si>
    <t>La sécurité de l'information est-elle intégréé dans la ou les méthodes de gestion de projet ? Précisez.</t>
  </si>
  <si>
    <t xml:space="preserve">  HUMAN RESOURCES SECURITY / SECURITE LIEE AUX RESSOURES HUMAINES</t>
  </si>
  <si>
    <t>HUM-01</t>
  </si>
  <si>
    <t>Are there any clauses in each employment contract regarding the employee's responsibilities (with respect to ISS)? If so, which aspects do they cover?</t>
  </si>
  <si>
    <t>Des clauses relatives aux responsabilités (en matière de SSI) du collaborateur figurent-elles dans chaque le contrat de travail ? Si oui, sur quels aspects portent-elles ?</t>
  </si>
  <si>
    <t>HUM-02</t>
  </si>
  <si>
    <t>How do you ensure that your employees are aware of and trained in security?
How often?
Have you identified which of your employees are most at risk?</t>
  </si>
  <si>
    <t>Comment assurez-vous la sensibilisation et formation à la sécurité de vos collaborateurs? 
A quelle fréquence le faites-vous?
Avez-vous identifié parmi vos collaborateurs les populations les plus à risque ?</t>
  </si>
  <si>
    <t>HUM-03</t>
  </si>
  <si>
    <t>Are your employees subject to a user security charter?</t>
  </si>
  <si>
    <t>Vos collaborateurs sont ils soumis à une charte sécurité utilisateurs ?</t>
  </si>
  <si>
    <t>HUM-04</t>
  </si>
  <si>
    <t>Are your administrators with privileged accounts subject to a specific security policy?</t>
  </si>
  <si>
    <t>Vos administrateurs détenteurs de comptes à privilèges sont ils soumis à une charte sécurité spécifique ?</t>
  </si>
  <si>
    <t xml:space="preserve">  ASSET MANAGEMENT / GESTION DES ACTIFS</t>
  </si>
  <si>
    <t>ACT-01</t>
  </si>
  <si>
    <t>Is an inventory of the assets associated with the information and the means of information processing established and maintained?</t>
  </si>
  <si>
    <t>Un inventaire des actifs associés à l'information et aux moyens de traitement de l'information est-il dressé et tenu à jour ?</t>
  </si>
  <si>
    <t>ACT-02</t>
  </si>
  <si>
    <t xml:space="preserve">How are the aspects related to reversibility addressed by your company? </t>
  </si>
  <si>
    <t xml:space="preserve">Comment les aspects liés à la réversibilité sont-ils adressés par votre société ? </t>
  </si>
  <si>
    <t>ACT-03</t>
  </si>
  <si>
    <t>In particular, do you provide the necessary assistance during the migration period to facilitate the transfer of hardware and software resources, as well as the resumption of their exploitation by SEPHORA or another service provider?</t>
  </si>
  <si>
    <t>En particulier, apportez-vous l'assistance nécessaire durant la période de migration pour faciliter le transfert des moyens matériels et logiciels, ainsi que la reprise de leur exploitation par SEPHORA ou un autre prestataire de service ?</t>
  </si>
  <si>
    <t>ACT-04</t>
  </si>
  <si>
    <t>Is the information classified in terms of value, legal requirements and sensitivity? In particular, is a classification of the documents made ? Describe this classification.</t>
  </si>
  <si>
    <t>Une classification des informations en termes de valeur, d'exigences légales et de sensibilité est-elle effectuée ? En particulier, une classification des documents est-elle effectuée ? Décrire cette classification.</t>
  </si>
  <si>
    <t>ACCESS CONTROL / CONTRÔLE D'ACCES</t>
  </si>
  <si>
    <t>IAM-01</t>
  </si>
  <si>
    <t>Is an access control policy formalized? Briefly describe it.</t>
  </si>
  <si>
    <t>Une politique de contrôle des accès est-elle formalisée ? La décrire succintement.</t>
  </si>
  <si>
    <t>IAM-02</t>
  </si>
  <si>
    <t xml:space="preserve">Do you have an identity and access management process (formalised, equipped, monitored) for all your employees?
Please could you detail your process in place ?
How all identities are managed?
</t>
  </si>
  <si>
    <t>Disposez-vous, au sein de la société, d'un processus (formalisé, outillé, contrôlé) de gestion des identités et des accès pour l'ensemble de vos collaborateurs ? 
Si oui, pouvez-vous nous lister les points clés de cette politique de gestion des accès? 
Par quels moyens sont gérés l'ensemble des identités?</t>
  </si>
  <si>
    <t>IAM-03</t>
  </si>
  <si>
    <r>
      <t>How are authentications managed (</t>
    </r>
    <r>
      <rPr>
        <b/>
        <sz val="11"/>
        <color theme="0"/>
        <rFont val="Calibri"/>
        <family val="2"/>
        <scheme val="minor"/>
      </rPr>
      <t>presence of SSO, MFA, federation</t>
    </r>
    <r>
      <rPr>
        <sz val="11"/>
        <color theme="0"/>
        <rFont val="Calibri"/>
        <family val="2"/>
        <scheme val="minor"/>
      </rPr>
      <t>) for the company's employees and subcontractors on the main information systems, especially critical systems?</t>
    </r>
  </si>
  <si>
    <r>
      <t>Comment sont gérés les authentifications (présence de</t>
    </r>
    <r>
      <rPr>
        <b/>
        <sz val="11"/>
        <color theme="0"/>
        <rFont val="Calibri"/>
        <family val="2"/>
        <scheme val="minor"/>
      </rPr>
      <t xml:space="preserve"> SSO, MFA, fédération</t>
    </r>
    <r>
      <rPr>
        <sz val="11"/>
        <color theme="0"/>
        <rFont val="Calibri"/>
        <family val="2"/>
        <scheme val="minor"/>
      </rPr>
      <t>) pour les employés et sous-traitants de la société sur les principaux systèmes d'information, et notamment les systèmes critiques ?</t>
    </r>
  </si>
  <si>
    <t>IAM-04</t>
  </si>
  <si>
    <t>How do you manage the roles of people with privileged accounts: what access control? 
Do you use MFA for privileges accounts? 
What segregation of duties and what least privilege principle? 
Do you use a PAM (Privilege Access Management)?</t>
  </si>
  <si>
    <t>Comment gérez-vous les rôles des personnes ayant des comptes à privilèges : quel contrôle d'accès ? 
Utilisez-vous du MFA pour les comptes à privilèges? 
Quelle ségrégation des tâches et quel principe du moindre privilège? 
Utilisez-vous un PAM (Privilege Access Management)?</t>
  </si>
  <si>
    <t>IAM-05</t>
  </si>
  <si>
    <t>Are user access rights reviewed regularly? If so, according to what process?</t>
  </si>
  <si>
    <t>Les droits d'accès utilisateur sont-ils revus régulièrement ? Si oui, selon quel processus ?</t>
  </si>
  <si>
    <t xml:space="preserve"> CRYPTOGRAPHY /  CRYPTOGRAPHIE</t>
  </si>
  <si>
    <t>CRY-01</t>
  </si>
  <si>
    <t>Is there a policy for the use of cryptographic mechanisms? If yes, on which reference(s) is it based?
(e.g.: ANSSI guidelines, NIST, OWASP recommendations, etc.)</t>
  </si>
  <si>
    <r>
      <t xml:space="preserve">Existe-il une politique d'utilisation des mécanismes cryptographiques ? Si oui, sur quel(s) référentiel(s) est-elle basée ?
</t>
    </r>
    <r>
      <rPr>
        <i/>
        <sz val="11"/>
        <color theme="0"/>
        <rFont val="Calibri"/>
        <family val="2"/>
        <scheme val="minor"/>
      </rPr>
      <t>(ex: recommandations de l'ANSSI, du NIST, de l'OWASP, etc.)</t>
    </r>
  </si>
  <si>
    <t>CRY-02</t>
  </si>
  <si>
    <t>How is customer data protected in storage? Specify how data confidentiality and integrity are ensured.</t>
  </si>
  <si>
    <r>
      <t xml:space="preserve">Comment les données client sont-elles protégées en </t>
    </r>
    <r>
      <rPr>
        <u/>
        <sz val="11"/>
        <color theme="0"/>
        <rFont val="Calibri"/>
        <family val="2"/>
        <scheme val="minor"/>
      </rPr>
      <t>stockage</t>
    </r>
    <r>
      <rPr>
        <sz val="11"/>
        <color theme="0"/>
        <rFont val="Calibri"/>
        <family val="2"/>
        <scheme val="minor"/>
      </rPr>
      <t xml:space="preserve"> ? Précisez comment la confidentialité et l'intégrité des données sont assurées.</t>
    </r>
  </si>
  <si>
    <t>PHYSICAL AND ENVIRONMENTAL SECURITY / SECURITE PHYSIQUE ET ENVIRONNEMENTALE</t>
  </si>
  <si>
    <t>PHY-01</t>
  </si>
  <si>
    <t>What is the location of the premises related to the service? 
Are your offices located in a co-working space?</t>
  </si>
  <si>
    <t>Quelle est la localisation des locaux liés à la prestation ? 
Vos locaux sont-ils situés dans un espace de co-working?</t>
  </si>
  <si>
    <t>PHY-02</t>
  </si>
  <si>
    <t>Are they located in areas not subject to natural disasters?_x000D_
(e.g. floods, storms, etc.)</t>
  </si>
  <si>
    <r>
      <t xml:space="preserve">Sont-ils situés dans des zones non sujettes aux catastrophes naturelles ?
</t>
    </r>
    <r>
      <rPr>
        <i/>
        <sz val="11"/>
        <color theme="0"/>
        <rFont val="Calibri"/>
        <family val="2"/>
        <scheme val="minor"/>
      </rPr>
      <t xml:space="preserve">(ex: crues, tempêtes, etc.) </t>
    </r>
  </si>
  <si>
    <t>PHY-03</t>
  </si>
  <si>
    <t>Present the technical security devices aimed at ensuring physical protection of the premises concerned
(e.g.: access control by badge, surveillance cameras, armored doors, etc.)</t>
  </si>
  <si>
    <r>
      <t xml:space="preserve">Présenter les dispositifs de sécurité techniques visant à assurer une protection physique des locaux concernés
</t>
    </r>
    <r>
      <rPr>
        <i/>
        <sz val="11"/>
        <color theme="0"/>
        <rFont val="Calibri"/>
        <family val="2"/>
        <scheme val="minor"/>
      </rPr>
      <t>(ex: contrôle d'accès par badge, caméras de surveillance, portes blindées, etc.)</t>
    </r>
  </si>
  <si>
    <t>PHY-04</t>
  </si>
  <si>
    <t>Present the human security devices aimed at ensuring physical protection of the premises concerned._x000D_
(e.g.: security guards on the premises, guarding, employee awareness, etc.)</t>
  </si>
  <si>
    <r>
      <t>Présenter les dispositifs de sécurité humains visant à assurer une protection physique des locaux concernés.</t>
    </r>
    <r>
      <rPr>
        <i/>
        <sz val="11"/>
        <color theme="0"/>
        <rFont val="Calibri"/>
        <family val="2"/>
        <scheme val="minor"/>
      </rPr>
      <t xml:space="preserve">
(ex: agents de sécurité dans les locaux, gardiennage, sensibilisation des collaborateurs, etc.)</t>
    </r>
  </si>
  <si>
    <t>PHY-05</t>
  </si>
  <si>
    <t>Present the physical and logical security measures in place for working in any secured areas.</t>
  </si>
  <si>
    <t>Présenter les mesures de sécurité physiques et logiques mises en place pour le travail dans les éventuelles zones sécurisées.</t>
  </si>
  <si>
    <t>DATACENTERS</t>
  </si>
  <si>
    <t>PHY-06-1</t>
  </si>
  <si>
    <t>Is the Datacenters service provided by the Company?</t>
  </si>
  <si>
    <t>Est-ce que le service Datacenters est fourni par la Société ?</t>
  </si>
  <si>
    <t>PHY-06-2</t>
  </si>
  <si>
    <t>If not, please specify the name of the owner of the datacenter(s)</t>
  </si>
  <si>
    <t>Sinon, préciser le nom du propriétaire du ou des datacenters</t>
  </si>
  <si>
    <t>PHY-06-3</t>
  </si>
  <si>
    <t>Number and location of data centers</t>
  </si>
  <si>
    <t>Nombre et localisation des datacenters</t>
  </si>
  <si>
    <t>PHY-06-4</t>
  </si>
  <si>
    <t>Certifications of the data centers</t>
  </si>
  <si>
    <t>Certifications des datacenters</t>
  </si>
  <si>
    <t>ex: Certification ISO27001</t>
  </si>
  <si>
    <t>PHY-06-5</t>
  </si>
  <si>
    <t>Physical and environmental protection of data centers (physical access control, energy, air conditioning, fire, flood, lightning, earthquakes)</t>
  </si>
  <si>
    <t>Protection physique et environnementale des datacenters (contôle des accès physiques, énergie, climatisation, incendie, inondation, foudre, séismes)</t>
  </si>
  <si>
    <t xml:space="preserve"> OPERATIONAL SECURITY / SECURITE LIEE A L'EXPLOITATION</t>
  </si>
  <si>
    <t>EXP-01</t>
  </si>
  <si>
    <t>What security measures have you put in place for your workstations and mobile devices?
Which of the following features have you implemented: hardening, EPP, EDR, MDM, patch management, anti-malware VPN?
Do you have BYOD in place?</t>
  </si>
  <si>
    <t>Quels dispositifs de sécurisation avez-vous mis en place pour vos postes de travail et équipements nomades? 
Parmi les dispositifs suivants, indiquez lesquels vous avez implémenté : durcissement, EPP, EDR, MDM, patch management et anti-malware VPN ?
Avez-vous mis en place du BYOD?</t>
  </si>
  <si>
    <t>EXP-02</t>
  </si>
  <si>
    <t>What security measures have you put in place for your servers?
Which of the following features have you implemented: hardening, EPP, EDR, patch management, internet access protection, WAF, reverse proxy and anti DDOS tools?</t>
  </si>
  <si>
    <t>Quel dispositif de sécurisation avec-vous mis en place pour vos serveurs ?
Parmi les dispositifs suivants, indiquez lesquels vous avez implémenté : durcissement, EPP, EDR, patch management, protection de l'accès à Internet, WAF, Reverse proxy et des outils anti DDOS ?</t>
  </si>
  <si>
    <t>EXP-03</t>
  </si>
  <si>
    <t>What general network security measures have you put in place? 
Which of the following features have you implemented: IPS/IDS, perimeter FW and segregation?</t>
  </si>
  <si>
    <t>Quels moyens de sécurisation générale de vos réseaux avez-vous mis en place?
Parmi les dispositifs suivants, indiquez lesquels vous avez implémenté :  IPS/IDS, FW périmétrique, ségmentation ?</t>
  </si>
  <si>
    <t>EXP-04</t>
  </si>
  <si>
    <t>How is the traceability of events (including security events) ensured?_x000D_
(e.g. technical logs, application logs, monitoring logs, etc.)</t>
  </si>
  <si>
    <r>
      <t xml:space="preserve">Comment la traçabilité des évènements (dont évènements de sécurité) est-elle assurée ?
</t>
    </r>
    <r>
      <rPr>
        <i/>
        <sz val="11"/>
        <color theme="0"/>
        <rFont val="Calibri"/>
        <family val="2"/>
        <scheme val="minor"/>
      </rPr>
      <t>(ex: logs techniques, logs applicatifs, logs de monitoring, etc.)</t>
    </r>
  </si>
  <si>
    <t>SECURITY OF COMMUNICATIONS / SECURITE DES COMMUNICATIONS</t>
  </si>
  <si>
    <t>COM-01</t>
  </si>
  <si>
    <t>How is customer data protected in transit? Specify how data confidentiality and integrity are ensured.</t>
  </si>
  <si>
    <r>
      <t xml:space="preserve">Comment les données client sont-elles protégées en </t>
    </r>
    <r>
      <rPr>
        <u/>
        <sz val="11"/>
        <color theme="0"/>
        <rFont val="Calibri"/>
        <family val="2"/>
        <scheme val="minor"/>
      </rPr>
      <t>transport</t>
    </r>
    <r>
      <rPr>
        <sz val="11"/>
        <color theme="0"/>
        <rFont val="Calibri"/>
        <family val="2"/>
        <scheme val="minor"/>
      </rPr>
      <t xml:space="preserve"> ? Préciser comment la confidentialité et l'intégrité des données sont assurées.</t>
    </r>
  </si>
  <si>
    <t>COM-02</t>
  </si>
  <si>
    <t>Are groups of information services, users and information systems partitioned on the networks?</t>
  </si>
  <si>
    <t>Les groupes de services d'information, d'utilisateurs et de systèmes d'information sont-ils cloisonnés sur les réseaux ?</t>
  </si>
  <si>
    <t>COM-03</t>
  </si>
  <si>
    <t>What security measures are in place to protect information passing through email?</t>
  </si>
  <si>
    <t>Quels sont les mesures de sécurité mises en place pour protéger l'information transitant par la messagerie électronique ?</t>
  </si>
  <si>
    <t>ACQUISITION, DEVELOPMENT AND MAINTENANCE OF INFORMATION SYSTEMS / ACQUISITION, DEVELOPPEMENT ET MAINTENANCE DES SI</t>
  </si>
  <si>
    <t>DEV-01</t>
  </si>
  <si>
    <t>What security standard(s) and/or recommendations does your company rely on when developing its applications?_x000D_
(e.g. Top 10 OWASP, CERT Secure Coding Standards, Top 25 SANS, etc.)</t>
  </si>
  <si>
    <r>
      <t xml:space="preserve">Sur quel(s) référentiel(s) de sécurité et/ou quelles recommandations votre société se base-t-elle pour le développement de ses applicatifs ?
</t>
    </r>
    <r>
      <rPr>
        <i/>
        <sz val="11"/>
        <color theme="0"/>
        <rFont val="Calibri"/>
        <family val="2"/>
        <scheme val="minor"/>
      </rPr>
      <t>(ex: Top 10 OWASP, CERT Secure Coding Standards, Top 25 SANS, etc.)</t>
    </r>
  </si>
  <si>
    <t>DEV-02</t>
  </si>
  <si>
    <t>Are developers trained in secure development best practices? Specify the frequency and the operating mode_x000D_
(e.g. face-to-face training, specific mandatory e-learning modules, etc.)</t>
  </si>
  <si>
    <r>
      <t xml:space="preserve">Les développeurs sont-ils formés aux bonnes pratiques de développement sécurisé ? Précisez la fréquence et le mode opératoire
</t>
    </r>
    <r>
      <rPr>
        <i/>
        <sz val="11"/>
        <color theme="0"/>
        <rFont val="Calibri"/>
        <family val="2"/>
        <scheme val="minor"/>
      </rPr>
      <t>(ex: formations en présentiel, modules e-learnings spécifiques obligatoires, etc.)</t>
    </r>
  </si>
  <si>
    <t>DEV-03</t>
  </si>
  <si>
    <t>How do you ensure the security and integrity of your software development? How do you protect against the introduction of malicious software into the development chain?</t>
  </si>
  <si>
    <t>Comment assurez-vous la sécurité et la protection de l'intégrité de vos développements logiciels ? Comment vous prémunissez-vous contre l'introduction de logiciels malveillants dans la chaîne de développement ?</t>
  </si>
  <si>
    <t>RELATIONSHIP WITH SUPPLIERS / RELATION AVEC LES FOURNISSEURS</t>
  </si>
  <si>
    <t>FOU-01</t>
  </si>
  <si>
    <t>How do you manage your suppliers?
Have you identified all the third parties involved in the implementation of your offer (hosts, developers, integrators, etc.)?</t>
  </si>
  <si>
    <t xml:space="preserve">Comment gérez-vous vos fournisseurs ?
Avez-vous recensé l'ensemble des tiers participant à la mise en œuvre de votre offre (hébergeurs, développeurs, intégrateurs, etc.) ? </t>
  </si>
  <si>
    <t>FOU-02</t>
  </si>
  <si>
    <t>Which third parties does your company use for this service? Specify their respective roles within the framework of the service.</t>
  </si>
  <si>
    <t>Quels sont les éventuels tiers auquels votre société dans le cadre de cette prestation ? Précisez leurs rôles respectifs.</t>
  </si>
  <si>
    <t>How do you manage your suppliers?
Do you do security assessments of your suppliers? How often? 
How do you manage the risk assessment of your suppliers? What method do you use?</t>
  </si>
  <si>
    <t>Evaluez-vous la sécurité de vos fournisseurs? 
A quelle fréquence le faites vous ? 
Comment gérez-vous l'évaluation des risques liés à vos fournisseurs? Quelle(s) méthode(s) utilisez-vous?</t>
  </si>
  <si>
    <t>FOU-03</t>
  </si>
  <si>
    <t>Do you contractualize the security requirements imposed by your customers to the third parties you use? _x000D_
_x000D_
(SEPHORA imposes on its service providers to transfer to the third parties concerned security requirements equivalent to those that these service providers commit to implement within the framework of the contract that links them to SEPHORA).</t>
  </si>
  <si>
    <r>
      <t>Contractualisez-vous les exigences de sécurité imposées par vos clients auprès des tiers auquels vous avez recours ? 
(</t>
    </r>
    <r>
      <rPr>
        <i/>
        <sz val="11"/>
        <color theme="0"/>
        <rFont val="Calibri"/>
        <family val="2"/>
        <scheme val="minor"/>
      </rPr>
      <t>SEPHORA impose en effet à ses prestataires de reporter vers les tiers concernés des exigences de sécurité équivalentes à celles que ces prestataires s'engagent à mettre en oeuvre dans le cadre du contrat qui les lies à SEPHORA)</t>
    </r>
  </si>
  <si>
    <t>ex: modèle de Plan d'Assurance Sécurité</t>
  </si>
  <si>
    <t>FOU-04</t>
  </si>
  <si>
    <t>Do you control the application of security measures by these third parties? If yes, how?_x000D_
(e.g.: surveillance, security audits, security visits, etc.)</t>
  </si>
  <si>
    <r>
      <t xml:space="preserve">Contrôlez-vous l'application des mesures de sécurité par ces tiers ? Si oui, comment ?
</t>
    </r>
    <r>
      <rPr>
        <i/>
        <sz val="11"/>
        <color theme="0"/>
        <rFont val="Calibri"/>
        <family val="2"/>
        <scheme val="minor"/>
      </rPr>
      <t>(ex: surveillance, audits de sécurité, visites de sécurité, etc.)</t>
    </r>
  </si>
  <si>
    <t>ex: Questionnaire/checklist sécurité</t>
  </si>
  <si>
    <t>SECURITY INCIDENT MANAGEMENT / GESTION DES INCIDENTS DE SECURITE</t>
  </si>
  <si>
    <t>INC-01</t>
  </si>
  <si>
    <t>Do you have a security incident management process (formalised, equipped, monitored)?
Could you briefly describe your process?</t>
  </si>
  <si>
    <t>Disposez-vous d'un processus (formalisé, outillé, contrôlé) de gestion des incidents de sécurité? 
Pouvez-vous décrire brièvement le processus?</t>
  </si>
  <si>
    <t>INC-02</t>
  </si>
  <si>
    <t>Do you have a SOC/CERT service? Is it in-house, outsourced, hybrid? Does it operate 24/7? Does it cover monitoring of the solution/services contracted?</t>
  </si>
  <si>
    <t>Disposez-vous d'un service de SOC/CERT ? Est-il interne, externalisé, hybride ? Fonctionne-t-il en 24/7 ? Couvre-t-il la surveillance de la solution / des services objet du contrat ?</t>
  </si>
  <si>
    <t>ISS ASPECTS IN BUSINESS CONTINUITY MANAGEMENT / ASPECTS SSI DANS LA GESTION DE LA CONTINUITE D'ACTIVITE</t>
  </si>
  <si>
    <t>PCA-01</t>
  </si>
  <si>
    <t>Is a global business continuity management process formalized and implemented?</t>
  </si>
  <si>
    <t>Un processus global de gestion de continuité de l'activité est-il formalisé et mis en place ?</t>
  </si>
  <si>
    <t>PCA-02</t>
  </si>
  <si>
    <t>Are there specific variations of this same process for certain entities in your company?</t>
  </si>
  <si>
    <t>Existe-t-il des déclinaisons de ce même processus spécifiques à certaines entités de votre société ?</t>
  </si>
  <si>
    <t>PCA-03</t>
  </si>
  <si>
    <t>What are the redundancy means implemented to guarantee the maximum availability of IT services?</t>
  </si>
  <si>
    <t>Quels sont les moyens de redondance mis en œuvre pour garantir le maximum de disponibilité des services IT ?</t>
  </si>
  <si>
    <t>PCA-04</t>
  </si>
  <si>
    <t>Are redundant information systems tested to ensure that the switchover from one component to another works as planned? Specify.</t>
  </si>
  <si>
    <t>Les systèmes d'information redondants sont-ils testés afin de s'assurer que le basculement d'un composant à un autre fonctionne comme prévu ? Précisez.</t>
  </si>
  <si>
    <t>COMPLIANCE / CONFORMITE</t>
  </si>
  <si>
    <t>CON-01</t>
  </si>
  <si>
    <t>What are your company's security certifications, if any? Specify the scope and year obtained or recertified._x000D_
(ex: ISO/IEC 27001:2013, PCI DSS v3.2, PASSI, etc.)</t>
  </si>
  <si>
    <r>
      <t xml:space="preserve">Quelles sont les éventuelles certifications sécurité de votre société ? Précisez le périmètre et l'année d'obtention ou de recertification.
</t>
    </r>
    <r>
      <rPr>
        <i/>
        <sz val="11"/>
        <color theme="0"/>
        <rFont val="Calibri"/>
        <family val="2"/>
        <scheme val="minor"/>
      </rPr>
      <t>(ex: ISO/IEC 27001:2013, PCI DSS v3.2, PASSI, etc.)</t>
    </r>
  </si>
  <si>
    <t>CON-02</t>
  </si>
  <si>
    <t xml:space="preserve">Can you specify the auditability clauses of your services and products?_x000D_
SEPHORA is indeed likely to trigger an audit (by itself or by an approved third party) according to the clauses provided in the contract that binds it to its service providers. </t>
  </si>
  <si>
    <r>
      <t xml:space="preserve">Pouvez-vous préciser les clauses d'auditabilité de vos services et produits ?
</t>
    </r>
    <r>
      <rPr>
        <i/>
        <sz val="11"/>
        <color theme="0"/>
        <rFont val="Calibri"/>
        <family val="2"/>
        <scheme val="minor"/>
      </rPr>
      <t xml:space="preserve">SEPHORA est en effet susceptible de déclencher un audit (par ses soins ou par un tiers agrée) selon les clauses prévues dans le contrat qui le lie à ses prestataires. </t>
    </r>
  </si>
  <si>
    <t>CON-03</t>
  </si>
  <si>
    <t>Do you carry out security audits (internal or external)? If so, on what perimeter and how often?</t>
  </si>
  <si>
    <t>Procédez-vous à des audits de sécurité (internes ou externes) ? Si oui, sur quel périmètre et selon quelle fréquence ?</t>
  </si>
  <si>
    <t>CON-04</t>
  </si>
  <si>
    <t>What are the main technical and organizational measures put in place (or identified) to ensure compliance with the European GDPR regulation?_x000D_
(e.g. appointment of a DPO, inventory of personal data processing, anonymization/pseudonynmization, etc.).</t>
  </si>
  <si>
    <r>
      <t xml:space="preserve">Quelles sont les principales dispositions techniques et organisationnelles mises en place (ou identifiées) pour assurer une conformité vis-à-vis du règlement européen GDPR ?
</t>
    </r>
    <r>
      <rPr>
        <i/>
        <sz val="11"/>
        <color theme="0"/>
        <rFont val="Calibri"/>
        <family val="2"/>
        <scheme val="minor"/>
      </rPr>
      <t>(ex: nomination d'un DPO, recensement des traitements de données à caractère personnel, anonymisation/pseudonynmisation, etc.)</t>
    </r>
  </si>
  <si>
    <t>QUESTIONS IN CASE OF / QUESTIONS EN CAS DE</t>
  </si>
  <si>
    <r>
      <t xml:space="preserve">Assessment / Evaluation
</t>
    </r>
    <r>
      <rPr>
        <b/>
        <i/>
        <sz val="14"/>
        <color theme="0"/>
        <rFont val="Calibri"/>
        <family val="2"/>
        <scheme val="minor"/>
      </rPr>
      <t>(by SEPHORA)</t>
    </r>
  </si>
  <si>
    <t>CB</t>
  </si>
  <si>
    <t>CREDIT CARD DATA ARE PROCESSED / TRAITEMENT DE DONNEES DE CARTES BANCAIRES</t>
  </si>
  <si>
    <t>CB-01</t>
  </si>
  <si>
    <t>How is this data captured (POS, website, telephone, other)</t>
  </si>
  <si>
    <t>Par quel moyen cette donnée est-elle captée (terminal de paiement, site web, téléphone, autre)</t>
  </si>
  <si>
    <t>CB-02</t>
  </si>
  <si>
    <t>If it is capturde by devices, implementation of P2PE or E2EE ?</t>
  </si>
  <si>
    <t>Si captée par les terminaux, mise en œuvre de P2PE ou E2EE ?</t>
  </si>
  <si>
    <t>CB-03</t>
  </si>
  <si>
    <t>Is credit card data handled (regardless of storage) ?</t>
  </si>
  <si>
    <t>La donnée CB est-elle manipulée (indépendament de son stockage) ?</t>
  </si>
  <si>
    <t>CB-04</t>
  </si>
  <si>
    <t>Is credit card data stored ?</t>
  </si>
  <si>
    <t>La donnée CB est-elle stockée ?</t>
  </si>
  <si>
    <t>CB-05</t>
  </si>
  <si>
    <t>PCI-DSS compliance (last RoC to be provided)</t>
  </si>
  <si>
    <t>Conformité PCI-DSS (Merci de fournir votre dernier RoC )</t>
  </si>
  <si>
    <t>CB-06</t>
  </si>
  <si>
    <t>If compliant, compliance perimeter</t>
  </si>
  <si>
    <t>Si oui, périmètre de conformité</t>
  </si>
  <si>
    <t>CB-07</t>
  </si>
  <si>
    <t>Comment s'assure-t-on que le périmètre de conformité est pertinent et le reste dans le temps ?</t>
  </si>
  <si>
    <t>CB-08</t>
  </si>
  <si>
    <t xml:space="preserve">Do ASV scans exist? </t>
  </si>
  <si>
    <t>Existence de scans ASV ?</t>
  </si>
  <si>
    <t>CB-09</t>
  </si>
  <si>
    <t>Control mode : audit or self assessment</t>
  </si>
  <si>
    <t>Mode de vérification : audit / self-assessment</t>
  </si>
  <si>
    <t>CB-10</t>
  </si>
  <si>
    <t>If self-assessment, category of self-assessment</t>
  </si>
  <si>
    <t>Si self-assessment, type de self-assessment</t>
  </si>
  <si>
    <t>CB-11</t>
  </si>
  <si>
    <t>Compliance of sub-contractors</t>
  </si>
  <si>
    <t>Conformité des sous-traitants</t>
  </si>
  <si>
    <t>CB-12</t>
  </si>
  <si>
    <t>How do you control that sub-contractors are compliant ?</t>
  </si>
  <si>
    <t>Quel mode de vérification de la conformité des sous-traitants ?</t>
  </si>
  <si>
    <t>CB-13</t>
  </si>
  <si>
    <t>Technical and organizational security controls to protect card data</t>
  </si>
  <si>
    <t>Mesures techniques et organisationnelles de sécurité pour protéger les données carte</t>
  </si>
  <si>
    <t>SA</t>
  </si>
  <si>
    <t>SAAS - IAAS - PAAS MODE APPLICATIONS / PRESTATIONS D'APPLICATIONS SAAS - IAAS - PAAS</t>
  </si>
  <si>
    <t>Application layer / Niveau applicatif</t>
  </si>
  <si>
    <t>SA-01-1</t>
  </si>
  <si>
    <t>Main functions</t>
  </si>
  <si>
    <t>Principales fonctions réalisées</t>
  </si>
  <si>
    <t>SA-01-2</t>
  </si>
  <si>
    <t>Category of information handled by the application</t>
  </si>
  <si>
    <t>Informations traitées par l'application</t>
  </si>
  <si>
    <t>SA-01-3</t>
  </si>
  <si>
    <t>Does the application rely on the integration and personnalization of a solution ?
If Yes, which solution ?</t>
  </si>
  <si>
    <t>Est-ce que l'application s'appuie sur l'intégration et la personnalisation d'une solution du marché ?
Si Oui, quelle solution ?</t>
  </si>
  <si>
    <t>SA-01-4</t>
  </si>
  <si>
    <t>Does the application rely on a CMS ?
If Yes, which CMS ?</t>
  </si>
  <si>
    <t>Est-ce que l'application s'appuie sur un CMS ?
Si "Oui", quel CMS ?</t>
  </si>
  <si>
    <t>SA-01-5</t>
  </si>
  <si>
    <t>List of libraries and third-party components used (name and version)</t>
  </si>
  <si>
    <t>Liste des librairies et composants tiers utilisés (nom et version)</t>
  </si>
  <si>
    <t>SA-01-6</t>
  </si>
  <si>
    <t>Who make the devlopments (internal or external resources)?</t>
  </si>
  <si>
    <t>Qui réalise les développements (ressources internes, externes)?</t>
  </si>
  <si>
    <t>SA-01-7</t>
  </si>
  <si>
    <t>SA-01-8</t>
  </si>
  <si>
    <r>
      <rPr>
        <b/>
        <sz val="11"/>
        <color theme="0"/>
        <rFont val="Calibri"/>
        <family val="2"/>
        <scheme val="minor"/>
      </rPr>
      <t>Back office -</t>
    </r>
    <r>
      <rPr>
        <sz val="11"/>
        <color theme="0"/>
        <rFont val="Calibri"/>
        <family val="2"/>
        <scheme val="minor"/>
      </rPr>
      <t xml:space="preserve"> account management and authentication :password policy (complexity, length, renewal, history, blocking, reset...), local or delegated authentication, security of credential storage if local, SAML support, strong authentication, etc.</t>
    </r>
  </si>
  <si>
    <r>
      <rPr>
        <b/>
        <sz val="11"/>
        <color theme="0"/>
        <rFont val="Calibri"/>
        <family val="2"/>
        <scheme val="minor"/>
      </rPr>
      <t>Back office</t>
    </r>
    <r>
      <rPr>
        <sz val="11"/>
        <color theme="0"/>
        <rFont val="Calibri"/>
        <family val="2"/>
        <scheme val="minor"/>
      </rPr>
      <t xml:space="preserve"> - Gestion de compte et authentification : politique de mot de passe (complexité, longueur, renouvellement, historique, blocage, reset...), authentification locale ou déléguée, sécurité du stockage des credentials si locale, support de SAML, authentification forte,  etc.</t>
    </r>
  </si>
  <si>
    <t>SA-01-9</t>
  </si>
  <si>
    <t>Technical (administrators) and business roles management, access control, and segregation of duties</t>
  </si>
  <si>
    <t>SA-01-10</t>
  </si>
  <si>
    <t>Data encryption at application layer, type and lifecycle of keys and certificates, e-safes</t>
  </si>
  <si>
    <t>SA-01-11</t>
  </si>
  <si>
    <t>Secure communication protocols</t>
  </si>
  <si>
    <t>SA-01-12</t>
  </si>
  <si>
    <t>Type of devices and client, browser and mobile app. Specific rights required for installation / use ? Addons required ?</t>
  </si>
  <si>
    <t>Types de devices et de clients, navigateurs et app mobile. Droits spécifiques requis à l'installation / l'utilisation ? Add-ons requis ?</t>
  </si>
  <si>
    <t>SA-01-13</t>
  </si>
  <si>
    <t>If mobile app and disconnected mode, security of offline data for this mode?</t>
  </si>
  <si>
    <t>Si application mobile et mode déconnecté, quelle sécurité des données offline?</t>
  </si>
  <si>
    <t>SA-01-14</t>
  </si>
  <si>
    <t>Access and application Log retrieval by the Customer: in real time or near real time, deferred, on-demand. Interface and/or export. Format. Ability to route the races to a SOC.</t>
  </si>
  <si>
    <t>Récupération des traces d'accès et applicatives par SEPHORA : en temps réel ou quasi réel, en différé, à la demande. Interface et/ou export. Format. Capacité de routage vers un SOC.</t>
  </si>
  <si>
    <t>SA-01-15</t>
  </si>
  <si>
    <t>Frequency of versions</t>
  </si>
  <si>
    <t>Fréquence des versions</t>
  </si>
  <si>
    <t>SA-01-16</t>
  </si>
  <si>
    <t>Change management policy</t>
  </si>
  <si>
    <t>Politique de gestion des changements</t>
  </si>
  <si>
    <t>SA-01-17</t>
  </si>
  <si>
    <t>SA-01-18</t>
  </si>
  <si>
    <t>SA-01-19</t>
  </si>
  <si>
    <t>SA-01-20</t>
  </si>
  <si>
    <t>Does major upgrades / changes in security functions of the application result in systematic intrusion testing prior to production?</t>
  </si>
  <si>
    <t xml:space="preserve">L'ajout de nouvelles fonctionnalités majeures / la modification de fonctions de sécurité dans l'application donne-t-elle lieu à des tests d'intrusion systématiques avant déploiement en production? </t>
  </si>
  <si>
    <t>SA-01-21</t>
  </si>
  <si>
    <t>DRP exists ? Scope, frequency of DRP testing, reporting to the customer</t>
  </si>
  <si>
    <t>Présence d'un DRP, périmètre, fréquence des tests du DRP, reporting au client</t>
  </si>
  <si>
    <t>SA-01-22</t>
  </si>
  <si>
    <t>Availability rate, RTO, RPO</t>
  </si>
  <si>
    <t>Taux de disponibilité, RTO, RPO</t>
  </si>
  <si>
    <t>Underlying middlewares and databases / Middlewares et bases de données sous-jacents</t>
  </si>
  <si>
    <t>SA-02-1</t>
  </si>
  <si>
    <t>Describe type of middlewares and/or databases</t>
  </si>
  <si>
    <t>Préciser le type de middleware et/ou bases de données</t>
  </si>
  <si>
    <t>SA-02-2</t>
  </si>
  <si>
    <t>SA-02-3</t>
  </si>
  <si>
    <t>SA-02-4</t>
  </si>
  <si>
    <t>Patch management of components</t>
  </si>
  <si>
    <t>Gestion des correctifs sécurité des composants</t>
  </si>
  <si>
    <t>SA-02-5</t>
  </si>
  <si>
    <t>Builtin default passwords replaced by complex passwords</t>
  </si>
  <si>
    <t>Mots de passe par défaut remplacés par mots de passe complexes</t>
  </si>
  <si>
    <t>Infrastructure services Iaas, Paas, plaforms, architectures / Services d'infrastructure Iaas, Paas, plateformes, architectures</t>
  </si>
  <si>
    <t>SA-03-1</t>
  </si>
  <si>
    <t>Is this service provided by the Company ?</t>
  </si>
  <si>
    <t>Est-ce que ce service est fourni par la Société ?</t>
  </si>
  <si>
    <t>SA-03-2</t>
  </si>
  <si>
    <t>Else, give its contractor name</t>
  </si>
  <si>
    <t>Sinon, préciser le nom du sous-traitant</t>
  </si>
  <si>
    <t>SA-03-3</t>
  </si>
  <si>
    <t>Describe solutions and components</t>
  </si>
  <si>
    <t>Décrire les solutions et composants utilisés</t>
  </si>
  <si>
    <t>SA-03-4</t>
  </si>
  <si>
    <t>Location of administrators</t>
  </si>
  <si>
    <t>Localisation des exploitants</t>
  </si>
  <si>
    <t>SA-03-5</t>
  </si>
  <si>
    <t>Security component implemented</t>
  </si>
  <si>
    <t>Modules de sécurité implémentés</t>
  </si>
  <si>
    <t>SA-03-6</t>
  </si>
  <si>
    <t>SA-03-7</t>
  </si>
  <si>
    <t>Privileged account management : individual, follow-up hired/terminated users, hardened passwords, jump hosts, etc.</t>
  </si>
  <si>
    <t>Processus de gestion des comptes à privilèges : nominatifs, suivi des E/S, passwords durcis, bastions, etc.</t>
  </si>
  <si>
    <t>SA-03-8</t>
  </si>
  <si>
    <t>Traceability of the use of privileged accounts and protection of traces against modification</t>
  </si>
  <si>
    <t>Traçabilité de l'usage des comptes à privilèges et protection des traces contre la modification</t>
  </si>
  <si>
    <t>SA-03-9</t>
  </si>
  <si>
    <t>Can administration with privileged accounts be done remotely, outside the Company's premises? If yes, what mechanisms are used and authentication factors.</t>
  </si>
  <si>
    <t>L'administration à partir de comptes à privilèges peut-elle se faire à distance, en dehors des locaux de la Société ? Si oui quels mécanismes utilisés et les facteurs d'authentification.</t>
  </si>
  <si>
    <t>SA-03-10</t>
  </si>
  <si>
    <t>Physical or virtual servers (technology ?), OS, OS hardening</t>
  </si>
  <si>
    <t>Serveurs physiques ou virtuels (technologie ?), OS, durcissement système</t>
  </si>
  <si>
    <t>SA-03-11</t>
  </si>
  <si>
    <t>Malware protection</t>
  </si>
  <si>
    <t>SA-03-12</t>
  </si>
  <si>
    <t>High availability of the application and replication between datacenters, load balancers, active-active mode or active-passive mode</t>
  </si>
  <si>
    <t>Haute disponibilité de l'application et réplication entre différents datacenters, load balancers, mode actif-actif ou actif-passif</t>
  </si>
  <si>
    <t>SA-03-13</t>
  </si>
  <si>
    <t>SA-03-14</t>
  </si>
  <si>
    <t>SA-03-15</t>
  </si>
  <si>
    <t>SA-03-16</t>
  </si>
  <si>
    <t>Caching</t>
  </si>
  <si>
    <t>SA-03-17</t>
  </si>
  <si>
    <t>Technical supervision and capacity planning</t>
  </si>
  <si>
    <t>Supervision technique et capacity planning</t>
  </si>
  <si>
    <t>SA-03-18</t>
  </si>
  <si>
    <t>Infrastructure and database log collection, security monitoring and incident detection (Cyber SOC), incident management process</t>
  </si>
  <si>
    <t>Collecte de logs d'infrastructure et bases de données, surveillance sécurité et détection d'incidents (Cyber SOC), incident management process</t>
  </si>
  <si>
    <t>SA-03-19</t>
  </si>
  <si>
    <t>SA-03-20</t>
  </si>
  <si>
    <t>Other possible specific questions / Autre questions spécifiques éventuelles</t>
  </si>
  <si>
    <t>SA-04-01</t>
  </si>
  <si>
    <t xml:space="preserve">How do you manage data deletion after the ending of the contract: what method do you use? 
What types of data are deleted? 
Are logs deleted? </t>
  </si>
  <si>
    <t xml:space="preserve">Comment est-ce que vous supprimez les données de vos clients après l'expiration du contrat?
Quels types de données sont supprimés ? 
Est ce que les logs sont supprimés ?  </t>
  </si>
  <si>
    <t>ex: Deletion of all data, log included, related to client (briefly describe the method)</t>
  </si>
  <si>
    <t xml:space="preserve">API UTILIZATION / UTILISATION D'API </t>
  </si>
  <si>
    <t>API-01</t>
  </si>
  <si>
    <t xml:space="preserve">Service account (account on which our API is executed) : 
What are the rights associated to this account ? 
Is the principle of least privilege applied ?  </t>
  </si>
  <si>
    <t xml:space="preserve">Compte de service (compte sur lequel notre API est exécutée) : 
Quels sont les droits associés à ce compte ? 
Le principe du moindre privilège est-il appliqué ? </t>
  </si>
  <si>
    <t>API-02</t>
  </si>
  <si>
    <t>Applicative accounts (accounts used by the application which consumes our API) : 
What are the different applicative accounts created ?</t>
  </si>
  <si>
    <t>Comptes applicatifs (comptes utilisés par l'application qui consomme notre API) : 
Quels sont les différents comptes applicatifs créés ?</t>
  </si>
  <si>
    <t>API-03</t>
  </si>
  <si>
    <t>Applicative accounts (accounts used by the application which consumes our API) : 
What are the different services consumable for the third party application ?</t>
  </si>
  <si>
    <t>Comptes applicatifs (comptes utilisés par l'application qui consomme notre API) : 
Quels sont les différents services consommables par l'application tierce ?</t>
  </si>
  <si>
    <t>API-04</t>
  </si>
  <si>
    <t xml:space="preserve">Is the principle of least privilege applied on these applicative accounts ? </t>
  </si>
  <si>
    <t xml:space="preserve">Le principe du moindre privilège est-il appliqué sur ces comptes applicatifs ? </t>
  </si>
  <si>
    <t>API-05</t>
  </si>
  <si>
    <t>How are the API calls authenticated ?</t>
  </si>
  <si>
    <t>Comment sont authentifié les calls API ?</t>
  </si>
  <si>
    <t>API-06</t>
  </si>
  <si>
    <t>Are API keys generated randomly ?</t>
  </si>
  <si>
    <t>Les clés API sont-elles générées de manière aléatoire ?</t>
  </si>
  <si>
    <t>API-07</t>
  </si>
  <si>
    <t>Where the API keys are stored ?</t>
  </si>
  <si>
    <t>Où sont stockées les clés API ?</t>
  </si>
  <si>
    <t>API-08</t>
  </si>
  <si>
    <t>How the API keys will be communicated to the third party ?</t>
  </si>
  <si>
    <t>Comment les clés API seront-elles communiquées à la tierce partie ?</t>
  </si>
  <si>
    <t>API-09</t>
  </si>
  <si>
    <t xml:space="preserve">Can you confirm the protocol https will be used for the authentication of the third party (client ID and secret sent to an API Management) ? </t>
  </si>
  <si>
    <t xml:space="preserve">Pouvez-vous confirmer que le protocole https sera utilisé pour l'authentification de la tierce partie (ID client et secret envoyé à un API Management) ? </t>
  </si>
  <si>
    <t>API-10</t>
  </si>
  <si>
    <t>Is a pentest of the API is performed ? If yes, what is the frequency ?</t>
  </si>
  <si>
    <t>Y a-t-il des pentests de réalisés sur les API ? Si oui, quelle est la fréquence ?</t>
  </si>
  <si>
    <t>API-11</t>
  </si>
  <si>
    <t>Are API flows protected by an encryption layer ?</t>
  </si>
  <si>
    <t>Les flus API sont ils chiffrés ?</t>
  </si>
  <si>
    <t>API-12</t>
  </si>
  <si>
    <t>Are the API requests logged ?</t>
  </si>
  <si>
    <t>Est-ce que les appels API sont journalisés ?</t>
  </si>
  <si>
    <t>API-13</t>
  </si>
  <si>
    <t>Are WAAP (Web Application &amp; API Protection) functionnalities used to protect the API ?</t>
  </si>
  <si>
    <t>Est-ce que vous utilisé le fonctionnalité WAAP pour protéger l'API ?</t>
  </si>
  <si>
    <t>API-14</t>
  </si>
  <si>
    <t>Are anti DDoS mechanisms implemented ?</t>
  </si>
  <si>
    <t>Est-ce que votre API est protégé contre le DDoS ?</t>
  </si>
  <si>
    <t>AI</t>
  </si>
  <si>
    <t>AI USAGE OR DEVELOPMENT / DEVELOPPEMENT OU USAGE D'IA</t>
  </si>
  <si>
    <t>General</t>
  </si>
  <si>
    <t>AI-01-01</t>
  </si>
  <si>
    <t>What is/are the purpose(s) of using AI system ? 
N.B. : An AI system , or Artificial Intelligence system, is a combination of technologies, algorithms, and models that enable a machine or computer to simulate human cognitive processes such as learning, perception, reasoning, and decision-making.</t>
  </si>
  <si>
    <t>A quelles fins est/sera utilisé le système d'IA ? 
N.B. : Un système d'IA, ou système d'intelligence artificielle, est un ensemble de technologies, d'algorithmes et de modèles qui permettent à une machine ou à un ordinateur de simuler des processus cognitifs humains tels que l'apprentissage, la perception, le raisonnement et la prise de décision.</t>
  </si>
  <si>
    <t>AI-01-02</t>
  </si>
  <si>
    <t>Specify which technology is used (rule-based algorithm, machine learning, deep learning, natural language processing, robotics, autonomous system, cognitive computing, emotion or facial recognition...).</t>
  </si>
  <si>
    <t>Précisez quelle technologie est utilisée (algorithme rule-based, apprentissage automatique, apprentissage profond, natural language processing, robotique, système autonome, informatique cognitive, reconnaissance faciale ou émotionnelle...).</t>
  </si>
  <si>
    <t>AI-01-03</t>
  </si>
  <si>
    <t xml:space="preserve">Describe the supplier's role within the supply chain regarding IA system (provider, importer, distributor…) </t>
  </si>
  <si>
    <t>Décrivez le rôle de du prestataire dans la chaine de distribution du système d'IA (fournisseur, importateur, distributeur…)</t>
  </si>
  <si>
    <t>AI-01-04</t>
  </si>
  <si>
    <t>Is AI system  sourcing current information from Internet? How up-to-date is the information?</t>
  </si>
  <si>
    <t>Le système d'IA source-t-il des informations d'actualité sur Internet ? Quel est le niveau d’actualité de l’information ?</t>
  </si>
  <si>
    <t>AI-01-05</t>
  </si>
  <si>
    <t>Where is AI system  &amp; algorithm’s storage or hosting located?</t>
  </si>
  <si>
    <t>Où est situé le stockage ou l’hébergement du système d’IA et des algorithmes ?</t>
  </si>
  <si>
    <t>AI-01-06</t>
  </si>
  <si>
    <t>Do you label images/videos/sounds/texts generated by the system as being produced by an AI system?</t>
  </si>
  <si>
    <t>Les images/vidéos/sons/textes générés par le système sont-ils labellisés comme étant produits par un système d'IA?</t>
  </si>
  <si>
    <t>AI-01-07</t>
  </si>
  <si>
    <t>Are you using open source or owned AI system models? Specify the AI system models used.</t>
  </si>
  <si>
    <t>Utilisez-vous des modèles d'IA open source ou propriétaires? Listez les modèles de système d'IA utilisés.</t>
  </si>
  <si>
    <t>Usage of AI</t>
  </si>
  <si>
    <t>AI-02-01</t>
  </si>
  <si>
    <t>Can you provide us with detailled information on how the AI system works and the various data processing operations it performs?</t>
  </si>
  <si>
    <t>Disposez-vous d'une documentation décrivant le fonctionnement du système d'IA et détaillant les différents traitements de données effectués par ce système?</t>
  </si>
  <si>
    <t>AI-02-02</t>
  </si>
  <si>
    <t>Can you provide us with detailled information on how to reliably interpret the AI system's final decisions? Do you guarantee traceability of the events and processes that led to the results obtained?</t>
  </si>
  <si>
    <t>Disposez-vous d'une documentation permettant d'interpréter de manière fiable les décisions finales du système d'IA? Garantissez-vous la traçabilité des évènements et processus ayant permis d'obtenir les résultats produits ?</t>
  </si>
  <si>
    <t>AI-02-03</t>
  </si>
  <si>
    <t>Can you provide us with detailed information on how you use and process user data as part of the dellivered services. Is there data enrichment, reuse, retail, but also storage, and user privacy protection? If yes, please specify how.</t>
  </si>
  <si>
    <t>Pouvez-vous nous fournir des informations détaillées sur la manière dont vous utilisez et traitez les données des utilisateurs générés dans le cadre des services fournis. Y-a-t-il de l'enrichissement, de la réutilisation ou de la revente des données, le stockage et la protection de la vie privée des utilisateurs ? Si oui, veuillez préciser</t>
  </si>
  <si>
    <t>AI-02-04</t>
  </si>
  <si>
    <t>Specify which datasets were used to train the AI system. Do you have a document to assess the quantity and suitability of the traning data sets available to the AI system ?  How was input data  sourced (scraping, consent, license…)?</t>
  </si>
  <si>
    <t>Précisez quels ensembles de données ont été utilisés pour former le système d'IA. Disposez-vous d'une documentation permettant d'évaluer la quantité et la pertinence des ensembles de données d'entraînement disponibles pour le système d'IA ? Comment les données d'entrée ont-elles été sourcées (scraping, consentement, license...)?</t>
  </si>
  <si>
    <t>AI-02-05</t>
  </si>
  <si>
    <t>Do you perform manual AI system output verification? What measures/tools have you implemented to perform verification of the outputs generated by AI system  to detect potential incorrect or biased responses?</t>
  </si>
  <si>
    <t>Procédez-vous à une vérification manuelle des éléments produits par le système d'IA ? Quelles mesures/outils avez-vous mises en œuvre pour effectuer une vérification des résultats générés par le système d'IA afin de détecter d'éventuelles réponses incorrectes ou des biaisées ?</t>
  </si>
  <si>
    <t>AI-02-06</t>
  </si>
  <si>
    <t xml:space="preserve">Describe the measures taken to ensure that sensitive/confidential/personal data cannot be obtained from output data </t>
  </si>
  <si>
    <t>Décrivez les mesures prises pour s'assurer que les données sensibles/confidentielles/personnelles ne peuvent pas être récupérées en données de sortie.</t>
  </si>
  <si>
    <t>AI-02-07</t>
  </si>
  <si>
    <t>Describe the measures taken to protect customer data from unauthorized use.</t>
  </si>
  <si>
    <t>Décrivez les mesures prises pour protéger les données clients d'une utilisation non autorisée.</t>
  </si>
  <si>
    <t>AI-02-08</t>
  </si>
  <si>
    <t>Do you adhere to the Human-AI system Interaction best-practices? Do you have AI-specific policies and guidelines for your employees &amp; outsourcers? Do you perform training specific to AI system s and its security?</t>
  </si>
  <si>
    <t>Suivez-vous les bonnes pratiques en matière d'interaction IA-Humain ? Possédez-vous des politiques et des guidelines spécifiques à l'IA applicables à vos employés et prestataires? Sensibilisiez-vous sur l'utilisation et la sécurité des systèmes d'IA?</t>
  </si>
  <si>
    <t>AI-02-09</t>
  </si>
  <si>
    <t>Have you done an impact assessment (the impact of the system on people, organizations, and society)? How often do you update it? Can you provide us with associated documentation?</t>
  </si>
  <si>
    <t>Avez-vous réalisé une analyse d'impact (impact du système sur les personnes, le entreprises et la société) ? À quelle fréquence la mettez-vous à jour ? Pouvez-vous communiquer la documentation associée ?</t>
  </si>
  <si>
    <t>AI-02-10</t>
  </si>
  <si>
    <t>How do you ensure that the AI system  is (can be) updated and maintained over time to address any new safety concerns or emerging risks? How often is AI system updated ?</t>
  </si>
  <si>
    <t>Comment garantissez-vous que le système d'IA est (peut être mis) à jour et entretenu au fil du temps afin de répondre à toute nouvelle préoccupation en matière de sécurité ou à tout risque émergent ? À quelle fréquence, le système d'IA est-il mis à jour ?</t>
  </si>
  <si>
    <t>AI-02-11</t>
  </si>
  <si>
    <t>Have you identified usge limitations of the AI system  and how do you address these limitations for evolution (maximum number of requests, scalability, similtaneous connected users…)?</t>
  </si>
  <si>
    <t>Avez-vous identifié les limites d'utilisation du système d'IA et comment comptez-vous y remédier en vue d'une évolution (nombre maximum de requêtes, évolutivité, utilisateurs connectés simultanés...) ?</t>
  </si>
  <si>
    <t>AI-02-12</t>
  </si>
  <si>
    <t xml:space="preserve">How do you address the complex security challenges associated with AI system in the long term, such as sophisticated adversarial attacks, systemic failures, and persistent algorithmic biases? What strategies and measures do you implement to prevent and mitigate these risks as AI system evolves and develops over time? (security assessment, risk analysis, threat intelligence...)
</t>
  </si>
  <si>
    <t>Comment relever les défis de sécurité complexes associés au system d'IA à long terme, tels que les attaques ellaborées, les défaillances systémiques et les biais algorithmiques persistants ? Quelles stratégies et mesures mettez-vous en œuvre pour prévenir et atténuer ces risques à mesure que l'IA évolue et se développe au fil du temps ? (évaluation de la sécurité, analyse des risques, surveillance des menaces...)</t>
  </si>
  <si>
    <t>AI-02-13</t>
  </si>
  <si>
    <t>Do you collect logs of the environment surrounding IA system? If yes, which logs are collected?</t>
  </si>
  <si>
    <t>Collectez-vous des logs sur l'environnement dans lequel évolue le système d'IA ? Si oui, quelles sont ces logs ?</t>
  </si>
  <si>
    <t>AI-02-14</t>
  </si>
  <si>
    <t xml:space="preserve">How long do you retain the logs and who can access them? </t>
  </si>
  <si>
    <t>Combien de temps conservez-vous les traces et qui peut y accéder ?</t>
  </si>
  <si>
    <t>AI-02-15</t>
  </si>
  <si>
    <t>Have you implemented "Privacy by design" process (eg. data minimization, data deletion...)? If yes, could you describe it?</t>
  </si>
  <si>
    <t>Avez-vous mis en œuvre un processus de "Privacy by design" (par exemple, minimisation des données, suppression des données...) ? Si oui, pourriez-vous le décrire ?</t>
  </si>
  <si>
    <t>AI-02-16</t>
  </si>
  <si>
    <t>What processes have you put in place to ensure effective and permanent deletion of data once the service is terminated?</t>
  </si>
  <si>
    <t>Quels sont les procédés en place pour garantir une suppression effective et définitive des données une fois les prestations terminées ? </t>
  </si>
  <si>
    <t>AI-02-17</t>
  </si>
  <si>
    <t>Is users usage and behavior used to train the model? If yes, can this feature be deactivated? How do you ensure the AI system  does not create any unintended data violations or security breaches?</t>
  </si>
  <si>
    <t>L'utilisation et le comportement des utilisateurs servent-ils à entrainer le modèle ? Si oui, est-ce possible de desactiver cette fonctionnalité ? Comment vous assurez-vous que le système d'IA ne crée pas de violations involontaires de données ou des failles de sécurité ?</t>
  </si>
  <si>
    <t>AI-02-18</t>
  </si>
  <si>
    <t>Describe implemented data anonymization capabilities.</t>
  </si>
  <si>
    <t>Décrivez les mecanismes d'anonymisation des données mis en place</t>
  </si>
  <si>
    <t xml:space="preserve">dire </t>
  </si>
  <si>
    <t>AI-02-19</t>
  </si>
  <si>
    <t>How long does the AI system retain data for user interactions (short-term memory)?</t>
  </si>
  <si>
    <t>Combien de temps le système d'IA conserve-t-elle les données relatives aux interactions avec les utilisateurs (mémoire à court terme) ?</t>
  </si>
  <si>
    <t>Development of AI</t>
  </si>
  <si>
    <t>AI-03-01</t>
  </si>
  <si>
    <t>Describe your company’s secure development practices specific to AI. How did the company adapt security tests for AI system technologies (in-domain testing, input/output validation…) ?</t>
  </si>
  <si>
    <t xml:space="preserve">Décrivez ce que vous mettez en œuvre pour assurer un  développement sécurisé spécifiques au système d'IA ?
Comment avez-vous adapté les tests de sécurité concernant les technologies d'intelligence artificielle ? (in-domain testing, validation des input/output…) ? </t>
  </si>
  <si>
    <t>AI-03-02</t>
  </si>
  <si>
    <t>Which specific awareness mecanism have you implemented:
- AI system specific Training &amp; awareness for developers,
- AI system specific Policies and Guidelines for developers
- Communication of Human AI system best-practices for developers
- Other (specify further)</t>
  </si>
  <si>
    <t>Quels dispositifs de sensibilisation spécifique avez-vous mis en place :
- Formation et sensibilisation des développeurs spécifiques au système d'IA
- Politiques et guidelines pour les développeurs spécifiques au système d'IA
- Communication des bonnes pratiques à avoir lors des interactions système d'IA-Humain pour les développeurs
- Autre (précisez)</t>
  </si>
  <si>
    <t>AI-03-03</t>
  </si>
  <si>
    <t>How do you address/contain the risk of bias? How do you ensure that AI system doesn't provide biased responses or discriminates against certain groups of people? Do you have a formalized bias management process?</t>
  </si>
  <si>
    <t>Comment adressez-vous/limitez-vous les risques de biais ? Comment vous assurez-vous que le système d'IA ne fournit pas de réponses biaisées ou ne discrimine pas certains groupes de personnes? Possédez-vous un processus formalisé de gestion des biais ?</t>
  </si>
  <si>
    <t>AI-03-04</t>
  </si>
  <si>
    <t>How do you ensure the answers generated by the AI system  are harmless to the humans and the environment? (e.g. : wrong decisions, biased answers, psychological/environmental impact…) What measures have you taken to mitigate the impact of AI system on humans, particularly in relation to decision-making processes, as well as its impact on the environment?</t>
  </si>
  <si>
    <t>Comment vous assurez-vous que les réponses générées par le système d'IA sont inoffensives pour les humains et l'environnement ? (ex: mauvaises décisions, réponses biaisées, impact psychologique/environnemental...)
Quelles mesures avez-vous prises pour atténuer l'impact de l'IA sur les êtres humains, en particulier en ce qui concerne les processus décisionnels, ainsi que son impact sur l'environnement ?</t>
  </si>
  <si>
    <t>AI-03-05</t>
  </si>
  <si>
    <t>What measures have you implemented against input poisonning? How do you ensure these measures won't be bypassed by malicious users?</t>
  </si>
  <si>
    <t>Quelles sont les mesures que vous avez mises en œuvre pour lutter contre l'empoisonnement des données (input poisonning) ? Comment vous assurez-vous que ces mesures ne seront pas contournées par des utilisateurs malveillants ?</t>
  </si>
  <si>
    <t>AI-03-06</t>
  </si>
  <si>
    <t>What is the reliability of the AI system ? How do you ensure the data isn't subjected to high levels of statistical noise and measurement bias?
Specify the metrics used (Cross validation, error analysis, Fleissʼ Kappa scores, goodness-of-fit tests...)</t>
  </si>
  <si>
    <t>Quelle est la fiabilité du système d'IA ? Comment vous assurez-vous que les données ne sont pas soumises à des niveaux élevés de bruit statistique et de biais de mesure ?
Précisez les métriques utilisées (validation croisée, analyse des erreurs, scores de Fleissʼ Kappa, tests d'adéquation...)</t>
  </si>
  <si>
    <t>AI-03-07</t>
  </si>
  <si>
    <t>How do you ensure the AI system  isn't overfitting or underfitting the data ? What is its accuracy rate? 
Specify the metrics used (false positive/negative rates, F1-score, precision, recall, etc…)</t>
  </si>
  <si>
    <t>Comment vous assurez-vous que le système d'IA ne surajuste pas ou sous-ajuste pas les données ? Quel est son taux de précision ? Veuillez préciser les métriques utilisées (taux de faux positifs/négatifs, score F1, précision, rappel, etc.).</t>
  </si>
  <si>
    <t>AI-03-08</t>
  </si>
  <si>
    <t>Do you store AI system  input/output data ? If yes, what types of data and how is it stored ? Is data encrypted? If yes, what encryption algorithm is used? Who can access this data?</t>
  </si>
  <si>
    <t>Stockez-vous les données d'entrée/sortie du système d'IA ? Si oui, quels types de données et comment sont-elles stockées ? Chiffrez-vous les données ? Si oui, quel est l'algorithme de chiffrement utilisé ? Qui peut accéder à ces données ?</t>
  </si>
  <si>
    <t>AI-03-09</t>
  </si>
  <si>
    <t>Have you defined a resilience plan? If yes, what is the scope? Do you have a fallback option on which to rely on when failure occurs?</t>
  </si>
  <si>
    <t>Avez-vous défini un plan de résilience ? Si oui, quel en est le périmètre ? Disposez-vous d'une solution alternative sur laquelle vous appuyer en cas de défaillance du système principal ?</t>
  </si>
  <si>
    <t>LM</t>
  </si>
  <si>
    <t>LICENCE+MAINTENANCE MODE APPLICATIONS / PRESTATIONS D'APPLICATIONS LICENCE+MAINTENANCE</t>
  </si>
  <si>
    <t>LM-01-01</t>
  </si>
  <si>
    <t>LM-02</t>
  </si>
  <si>
    <t>Main components of the architecture</t>
  </si>
  <si>
    <t>Principaux composants de l'architecture</t>
  </si>
  <si>
    <t>LM-03</t>
  </si>
  <si>
    <t>Type of interfaces with other systems and security of these interfaces</t>
  </si>
  <si>
    <t>Type d'interface avec d'autres systèmes et sécurisation de ces interfaces</t>
  </si>
  <si>
    <t>LM-04</t>
  </si>
  <si>
    <t>Category of information handled by the application  / the software</t>
  </si>
  <si>
    <t>Information traitées par l'application / le logiciel</t>
  </si>
  <si>
    <t>LM-05</t>
  </si>
  <si>
    <t>Secure development process, formation des développeurs à la sécurité, security best practices</t>
  </si>
  <si>
    <t>Processus de développement sécurisé, formation des développeurs à la sécurité, respect des bonnes pratiques de sécurité</t>
  </si>
  <si>
    <t>LM-06</t>
  </si>
  <si>
    <t>Security tests process : code review, penetration testing</t>
  </si>
  <si>
    <t>Processus d'audit sécurité : revue de codes, tests d'intrusion</t>
  </si>
  <si>
    <t>LM-07</t>
  </si>
  <si>
    <t>Frequency of versions. Change management policy.</t>
  </si>
  <si>
    <t>Fréquence des versions. Politique de gestion des changements</t>
  </si>
  <si>
    <t>LM-08</t>
  </si>
  <si>
    <t>Vulnerabilities management process</t>
  </si>
  <si>
    <t>Processus de gestion des failles de sécurité</t>
  </si>
  <si>
    <t>LM-09</t>
  </si>
  <si>
    <t>Security patchs provided by the Company</t>
  </si>
  <si>
    <t>Fourniture par la société des correctifs de sécurité</t>
  </si>
  <si>
    <t>LM-10</t>
  </si>
  <si>
    <t>LM-11</t>
  </si>
  <si>
    <t>Front office - account management (provisioning) and authentication : password policy (complexity, length, renewal, history, blocking, reset...) , local or delegated authentication, security of credential storage if local, SAML support, strong authentication, captcha, etc.</t>
  </si>
  <si>
    <t>Front office - gestion de comptes (entrées/sorties) et authentification : politique de mot de passe (complexité, longueur, renouvellement, historique, blocage, reset...), authentification locale ou déléguée, sécurité du stockage des credentials si locale,  support de SAML, authentification forte, captcha, etc.</t>
  </si>
  <si>
    <t>LM-12</t>
  </si>
  <si>
    <t>Back office - account management and authentication :password policy (complexity, length, renewal, history, blocking, reset...), local or delegated authentication, security of credential storage if local, SAML support, strong authentication, etc.</t>
  </si>
  <si>
    <t>Back office - gestion de compte et authentification : politique de mot de passe (complexité, longueur, renouvellement, historique, blocage, reset...), authentification locale ou déléguée, sécurité du stockage des credentials si locale, support de SAML, authentification forte,   etc.</t>
  </si>
  <si>
    <t>LM-13</t>
  </si>
  <si>
    <t>Gestion des rôles techniques (administrateurs) et métiers, contrôle d'accès et ségrégation des tâches.</t>
  </si>
  <si>
    <t>LM-14</t>
  </si>
  <si>
    <t>Data encryption, which level and technique?</t>
  </si>
  <si>
    <t>Chiffrement des données, à quel niveau et quelle technique?</t>
  </si>
  <si>
    <t>LM-15</t>
  </si>
  <si>
    <t>Sécurité des protocoles de communication</t>
  </si>
  <si>
    <t>LM-16</t>
  </si>
  <si>
    <t>Types de devices et de clients, navigateurs et app mobile. Droits spécifiques requis à l'installation / l'utilisation ? Addons requis ?</t>
  </si>
  <si>
    <t>LM-17</t>
  </si>
  <si>
    <t>LM-18</t>
  </si>
  <si>
    <t>Traces of application operations, at front and back office level</t>
  </si>
  <si>
    <t>Traces des opérations faites dans l'application aux niveaux front et back office</t>
  </si>
  <si>
    <t>LM-19</t>
  </si>
  <si>
    <t>Log monitoring ability: sent to Syslog server, user interface, on-demand manual export. Log format.</t>
  </si>
  <si>
    <t>Possibilité de surveillance des traces: envoi vers serveur Syslog, interface de consultation, export manuel à la demande. Format des traces.</t>
  </si>
  <si>
    <t>LM-20</t>
  </si>
  <si>
    <t>Maintenance mechanism : secure remote connection</t>
  </si>
  <si>
    <t>Dispositif de maintenance : connexion à distance sécurisée</t>
  </si>
  <si>
    <t>LM-21</t>
  </si>
  <si>
    <t>ECCC</t>
  </si>
  <si>
    <t>STUDY, CONSULTING, OTHER PRODUCTION OF CREATIVE CONTENT SERVICES / PRESTATIONS D'ETUDE, CONSEIL, REALISATION DE CONTENUS CREATIFS</t>
  </si>
  <si>
    <t>ECCC-1</t>
  </si>
  <si>
    <t>What secure system approved by the Customer would be used to exchange documents and data with the Client and sub-contractors?</t>
  </si>
  <si>
    <t>Quel système sécurisé et approuvé par le client serait utilisé pour échanger des documents et données avec le Client et avec des sous-traitants?</t>
  </si>
  <si>
    <t>ECCC-2</t>
  </si>
  <si>
    <t>Security of the Providers's system that hosts data and document provided by the customer for the mission, and the results, documents and content produced by the Provider during the mission.</t>
  </si>
  <si>
    <t>Sécurité du système du prestataire hébergeant les données et documents fournis par le client et nécessaires à la mission, ainsi que les résultats, documents et tous contenus produits par le prestataire au cours de la mission.</t>
  </si>
  <si>
    <t>ECCC-3</t>
  </si>
  <si>
    <t>Segregation of the data/documents among different customers</t>
  </si>
  <si>
    <t>Séparation des documents/données du client vis-à-vis d'autres clients</t>
  </si>
  <si>
    <t>ECCC-4</t>
  </si>
  <si>
    <t>Granting access rights to the information related to the mission, only to the consultants of the Company, assigned for the mission, on a need-to know basis. Traceability of these accesses.</t>
  </si>
  <si>
    <t>Attribution  des droits d'accès aux informations relatives à la mission aux seuls intervenants de la Société désignés pour la mission, selon une règle du besoin d'en connaître. Traçabilité de ces accès.</t>
  </si>
  <si>
    <t>ECCC-5</t>
  </si>
  <si>
    <t>Security of devices used by the Provider's staff which may acces to Customer data: system hardening, dedicated and segmented network, antimalware, host IPS, patch, etc. If these devices are used through a remote access, security of this connection an authentication.</t>
  </si>
  <si>
    <t>Sécurité des devices utilisés par les personnels du prestataire et susceptibles d'accéder aux informations du Client: durcissement systèmes, réseau dédié et cloisonné, antimalware, patch, host IP, etc. Si ces devices sont parfois utilisés en accès distant, quelle sécurité et quelle authentification?</t>
  </si>
  <si>
    <t>ECCC-6</t>
  </si>
  <si>
    <t>Physical security of the premises of the Company</t>
  </si>
  <si>
    <t>Sécurité physique des locaux de la Société</t>
  </si>
  <si>
    <t>ECCC-7</t>
  </si>
  <si>
    <t>No local storage of data, documents and any content belonging to the customer, on devices of Provider's staff</t>
  </si>
  <si>
    <t>Absence de stockage local de données, documents et contenus du client, localement sur des devices des consultants du prestataire</t>
  </si>
  <si>
    <t>ECCC-8</t>
  </si>
  <si>
    <t>Destruction of all data, documents and content provided by the Customer or resulting of the mission, once the mission is completed</t>
  </si>
  <si>
    <t>Destruction de toutes données, documents et contenus communiqués par le Client ou résultant de la mission, une fois la mission terminée</t>
  </si>
  <si>
    <t>ECCC-9</t>
  </si>
  <si>
    <t>Awareness of consultants to confidentility in general, and to contractual commitments, related to the mission</t>
  </si>
  <si>
    <t>Sensibilisation des consultants à la confidentialité des informations en général et aux obligations contractuelles de confidentialité pour la mission</t>
  </si>
  <si>
    <t>ECCC-10</t>
  </si>
  <si>
    <t>Ownership of contents provided</t>
  </si>
  <si>
    <t>Propriété des contenus produits</t>
  </si>
  <si>
    <t>ECCC-11</t>
  </si>
  <si>
    <t>DS</t>
  </si>
  <si>
    <t>CUSTOM DEVELOPMENT SERVICE / PRESTATIONS DE DEVELOPPEMENT SPECIFIQUE</t>
  </si>
  <si>
    <t>DS-1</t>
  </si>
  <si>
    <t>Training the developers to secure development</t>
  </si>
  <si>
    <t>Formation des développeurs au développement sécurisé</t>
  </si>
  <si>
    <t>DS-2</t>
  </si>
  <si>
    <t>Development language</t>
  </si>
  <si>
    <t>Langage de développement</t>
  </si>
  <si>
    <t>DS-3</t>
  </si>
  <si>
    <t>Use of open source code</t>
  </si>
  <si>
    <t>Utilisation de code open source</t>
  </si>
  <si>
    <t>DS-4</t>
  </si>
  <si>
    <t>Development compliant with best practices for secure development (ex : Top 10 OWASP)</t>
  </si>
  <si>
    <t>Réalisation des développements conformément aux bonnes pratiques de sécurité dans les développements (notamment top 10 OWASP)</t>
  </si>
  <si>
    <t>DS-5</t>
  </si>
  <si>
    <t>No hard-coded password, no password in the log files</t>
  </si>
  <si>
    <t>Pas de mot de passe codé en dur, ni dans les logs</t>
  </si>
  <si>
    <t>DS-6</t>
  </si>
  <si>
    <t>Security of interfaces (communication and authentication), type and lifecycles of keys and certificates</t>
  </si>
  <si>
    <t>Sécurité des interfaces (communications et authentification), type et gestion du cycle de vie des clés et certificats</t>
  </si>
  <si>
    <t>DS-7</t>
  </si>
  <si>
    <t>Chiffrement des données au niveau applicatif, type et gestion du cycle de vie des clés et certificats, coffre-forts pour les clés</t>
  </si>
  <si>
    <t>DS-8</t>
  </si>
  <si>
    <t>Upgrade frequency and upgrade process</t>
  </si>
  <si>
    <t>Fréquence des versions et processus de montée de version</t>
  </si>
  <si>
    <t>DS-9</t>
  </si>
  <si>
    <t>Iterative code review for security purpose, if agile development</t>
  </si>
  <si>
    <t>Revues de code itératives à des fins de sécurité, si développement agile</t>
  </si>
  <si>
    <t>DS-10</t>
  </si>
  <si>
    <t>Penetration testing before go live for any major upgrade, minimal frequency</t>
  </si>
  <si>
    <t>Réalisation de test d'intrusion avant toute mise en production de version majeure, fréquence minimale</t>
  </si>
  <si>
    <t>DS-11</t>
  </si>
  <si>
    <t>Using fictitious of anonymized data on development environment</t>
  </si>
  <si>
    <t>Utilisation de données personnelles fictives ou anonymisées sur environnement de développement</t>
  </si>
  <si>
    <t>DS-12</t>
  </si>
  <si>
    <t>Segmentation of development, integration/qualification and production environments</t>
  </si>
  <si>
    <t>Séparation des environnements de développement, qualification/intégration et production</t>
  </si>
  <si>
    <t>DS-13</t>
  </si>
  <si>
    <t>Production process to avoid unwanted introduction or change of code.</t>
  </si>
  <si>
    <t>Processus de mise en production permettant d'éviter toute introduction ou modification de code indésirable.</t>
  </si>
  <si>
    <t>DS-14</t>
  </si>
  <si>
    <t>Patch management so that components don't suffer from high or critical vulnerabilities</t>
  </si>
  <si>
    <t>Gestion des correctifs de sécurité garantissant une utilisation de composants sans vulnérabilité haute ou critique.</t>
  </si>
  <si>
    <t>DS-15</t>
  </si>
  <si>
    <t>User access log and application logs entries contain date, time, user ID, URL executed or entity ID operated on, operation performed  and source IP address.</t>
  </si>
  <si>
    <t>Les logs d'accès et logs applicatifs contiennent date, heure, identifiant utilisateur, URL ou module, fonction réalisée et adresse IP source.</t>
  </si>
  <si>
    <t>DS-16</t>
  </si>
  <si>
    <t>Logs will be kept in a secure area to prevent tampering.</t>
  </si>
  <si>
    <t>Logs stockés de manière sécurisée pour éviter leur falsification</t>
  </si>
  <si>
    <t>DS-17</t>
  </si>
  <si>
    <t>Interface allowing a Cyber SOC to retrieve logs in real time</t>
  </si>
  <si>
    <t>Interface permettant à un Cyber SOC de récupérer les logs en temps réel</t>
  </si>
  <si>
    <t>DS-18</t>
  </si>
  <si>
    <t>Code ownership</t>
  </si>
  <si>
    <t>Propriété des développements</t>
  </si>
  <si>
    <t>ADM</t>
  </si>
  <si>
    <t>APPLICATION SUPPORT AND MAINTENANCE, OUTSOURCING IT, ADMINISTRATION SERVICES / SERVICES DE TMA, INFOGERANCE,  ADMINISTRATION IT</t>
  </si>
  <si>
    <t>ADM-1</t>
  </si>
  <si>
    <t>ADM-2</t>
  </si>
  <si>
    <t>Else, give its sub-contractor name</t>
  </si>
  <si>
    <t>Sinon, préciser le nom de son sous-traitant</t>
  </si>
  <si>
    <t>ADM-3</t>
  </si>
  <si>
    <t>Dedicated Security Committes or Steering / Operational Committees including a security part. Security correspondent.</t>
  </si>
  <si>
    <t>Comités sécurité dédiés ou Comités de Pilotage / opérationnels incluant un volet sécurité. Correspondant sécurité.</t>
  </si>
  <si>
    <t>ADM-4</t>
  </si>
  <si>
    <t>Location of staff</t>
  </si>
  <si>
    <t>Localisation des équipes</t>
  </si>
  <si>
    <t>ADM-5</t>
  </si>
  <si>
    <t>Individual commitment of the staff to comply with policies and respect of confidentiality.</t>
  </si>
  <si>
    <t xml:space="preserve">Engagement individuel des personnels au respect des directives et à la confidentialité. </t>
  </si>
  <si>
    <t>ADM-6</t>
  </si>
  <si>
    <t>User accounts provisioning / deprovisioning of this staff. Identity lifecycle management : creation, change and deletion / deactivation.</t>
  </si>
  <si>
    <t>Principe de provisioning / deprovisioning des comptes de ces personnels. Gestion cycle de vie de l'identité: création, changement, suppression/désactivation.</t>
  </si>
  <si>
    <t>ADM-7</t>
  </si>
  <si>
    <t>Use of individuals accounts</t>
  </si>
  <si>
    <t>Utilisation de comptes nominatifs</t>
  </si>
  <si>
    <t>ADM-8</t>
  </si>
  <si>
    <t>Password policy  (length, complexity, renewal, replay, disabling after repeated authentication failures, reset, expiration date...)</t>
  </si>
  <si>
    <t>Politique de mot de passe  (longueur, complexité, renouvellement, rejeu, blocage sur tentatives infructueuses, reset, date d'expiration…)</t>
  </si>
  <si>
    <t>ADM-9</t>
  </si>
  <si>
    <t>Access management on a need-to-know basis and segregation of duties</t>
  </si>
  <si>
    <t>Gestion des accès sur la base du besoin d'en connaître et de la ségrégation des tâches</t>
  </si>
  <si>
    <t>ADM-10</t>
  </si>
  <si>
    <t>Connection mode to the targeted systems. Use of jump hosts or bastion.</t>
  </si>
  <si>
    <t>Mode de connexion aux systèmes cibles. Utilisation de machines de rebond / bastions</t>
  </si>
  <si>
    <t>ADM-11</t>
  </si>
  <si>
    <t>ADM-12</t>
  </si>
  <si>
    <t>Segregation between customers for operations and logs</t>
  </si>
  <si>
    <t>Cloisonnement inter-clients pour les opérations et les traces</t>
  </si>
  <si>
    <t>ADM-13</t>
  </si>
  <si>
    <t>Log of operations on intermediate and targeted systems. Log protection.</t>
  </si>
  <si>
    <t>Traçabilité des opérations dans les systèmes intermédiaires et cibles. Protection des traces.</t>
  </si>
  <si>
    <t>ADM-14</t>
  </si>
  <si>
    <t>Security of devices used by the Provider's staff: system hardening, no administrative rights on these devices, dedicated and segmented network, antimalware, host IPS, patch, remote access (home or other), etc.</t>
  </si>
  <si>
    <t>Sécurité des devices utilisés par les personnels du prestataire: durcissement systèmes, pas de droits d'administration sur ces devices, réseau dédié et cloisonné, antimalware, patch, host IP, utilisation en accès distant (domicile ou autre), etc.</t>
  </si>
  <si>
    <t>ADM-15</t>
  </si>
  <si>
    <t>Monitoring and security incident detection systems, SIEM, Cyber SOC</t>
  </si>
  <si>
    <t>Système de surveillance et détection d'anomalies de sécurité, SIEM, Cyber SOC</t>
  </si>
  <si>
    <t>ADM-16</t>
  </si>
  <si>
    <t>FMI</t>
  </si>
  <si>
    <t xml:space="preserve"> SUPPLY AND MAINTENANCE OF IT/NETWORK/TECHNICAL EQUIPMENT SERVICES / PRESTATIONS DE FOURNITURE ET MAINTENANCE DE MATERIELS INFORMATIQUES, RESEAU ET TECHNIQUE</t>
  </si>
  <si>
    <t>FMI-1</t>
  </si>
  <si>
    <t>Process to secure the production of hardware and related system to prevent form introduction of a malware.</t>
  </si>
  <si>
    <t>Processus de sécurisation de la production du matériel et du système associé pour prévenir l'introduction de logiciels malveillants.</t>
  </si>
  <si>
    <t>FMI-2</t>
  </si>
  <si>
    <t>Changement management process</t>
  </si>
  <si>
    <t>Processus de gestion des changements</t>
  </si>
  <si>
    <t>FMI-3</t>
  </si>
  <si>
    <t>Patch management process, alert if a breach is detected</t>
  </si>
  <si>
    <t>Processus de gestion des correctifs de sécurité, alerte en cas de faille</t>
  </si>
  <si>
    <t>FMI-4</t>
  </si>
  <si>
    <t>Security of maintenance onsite and/or remote.</t>
  </si>
  <si>
    <t>Sécurité de la maintenance sur site et/ou de la télé-maintenance</t>
  </si>
  <si>
    <t>FMI-5</t>
  </si>
  <si>
    <t>Secure connection mode to Client site, protocols required</t>
  </si>
  <si>
    <t>Mode de connexion sécurisé au site du Client, protocoles nécessaires</t>
  </si>
  <si>
    <t>FMI-6</t>
  </si>
  <si>
    <t xml:space="preserve">If information or alerts (counters, maintenance data) are automatically sent to the Company from Customer site: type of content, protocols and ports, lifecycle of this information </t>
  </si>
  <si>
    <t>En cas d'informations et alertes envoyées automatiquement à la Société (compteurs, données de maintenance) depuis le site du Client: contenu des informations, protocoles et ports utilisés, durée de vie des informations</t>
  </si>
  <si>
    <t>FMI-7</t>
  </si>
  <si>
    <t>Security of integrated storage</t>
  </si>
  <si>
    <t>Sécurité du stockage intégré à la solution</t>
  </si>
  <si>
    <t>FMI-8</t>
  </si>
  <si>
    <t>Process of disposal of failed storage media, erasure of these media</t>
  </si>
  <si>
    <t>Processus de mise au rebut des media de stockage défaillants, effacement de ces media</t>
  </si>
  <si>
    <t>FMI-9</t>
  </si>
  <si>
    <t>Integrated accounts and credentials security policy</t>
  </si>
  <si>
    <t>Politique de comptes et mots de passe intégrés à la solution</t>
  </si>
  <si>
    <t>FMI-10</t>
  </si>
  <si>
    <t>Accounts used by the company (generic, nominative), replacement of default passwords, for maintenance operations</t>
  </si>
  <si>
    <t>Comptes utilisés par la société (génériques, nominatifs), remplacement des mots de passe par défaut, pour des opérations de maintenance</t>
  </si>
  <si>
    <t>FMC</t>
  </si>
  <si>
    <t>SUPPLY AND MAINTENANCE OF INSTALLATIONS AND TECHNICAL OR INDUSTRIAL COMPONENTS / PRESTATIONS DE FOURNITURE ET MAINTENANCE D'INSTALLATIONS ET COMPOSANTS TECHNIQUES ET INDUSTRIELS</t>
  </si>
  <si>
    <t>FMC-1</t>
  </si>
  <si>
    <t>Type of OS on the equipment</t>
  </si>
  <si>
    <t>Type de système d'exploitation des équipements</t>
  </si>
  <si>
    <t>FMC-2</t>
  </si>
  <si>
    <t>Patch management</t>
  </si>
  <si>
    <t>Gestion des correctifs de sécurité</t>
  </si>
  <si>
    <t>FMC-3</t>
  </si>
  <si>
    <t>Antivirus software support</t>
  </si>
  <si>
    <t>Support d'un logiciel antivirus</t>
  </si>
  <si>
    <t>FMC-4</t>
  </si>
  <si>
    <t>Account on the equipment and/or administrative console: builtin accounts, other accounts, roles</t>
  </si>
  <si>
    <t>Comptes informatiques sur les équipements et/ou la console d'administration : comptes prédéfinis, autres types de comptes, rôles</t>
  </si>
  <si>
    <t>FMC-5</t>
  </si>
  <si>
    <t>Password policy on the equipement, replaced default passwords</t>
  </si>
  <si>
    <t>Politique de mots de passe sur les équipements, remplacement des mots de passe par défaut</t>
  </si>
  <si>
    <t>FMC-6</t>
  </si>
  <si>
    <t>Type of network connection, protocols,secure communications, isolation of the equipment on a dedicated subnet, flow matrix</t>
  </si>
  <si>
    <t>Type de raccordement réseau, protocoles utilisés, communications sécurisées, isolation des équipements sur un sous-réseu dédié, matrice de flux</t>
  </si>
  <si>
    <t>FMC-7</t>
  </si>
  <si>
    <t>Secure communication for telemaintenance by the Company</t>
  </si>
  <si>
    <t>Communications sécurisées pour la télémaintenance par la Société</t>
  </si>
  <si>
    <t>FMC-8</t>
  </si>
  <si>
    <t>Secure communication of technical and supervision data to the Company</t>
  </si>
  <si>
    <t>Envoi sécurisé de données techniques et de supervision vers la Société</t>
  </si>
  <si>
    <t>FMC-9</t>
  </si>
  <si>
    <t>Security of the network and workstations of the Company used for integration and maintenance</t>
  </si>
  <si>
    <t>Sécurité du réseau et des postes de la société servant à l'intégration et à la maintenance</t>
  </si>
  <si>
    <t>FMC-10</t>
  </si>
  <si>
    <t>Secure process for onsite services carried out by Company staff, traceability</t>
  </si>
  <si>
    <t>Processus sécurisé pour les interventions sur site par des personnels de la Société, traçabilité</t>
  </si>
  <si>
    <t>FMC-11</t>
  </si>
  <si>
    <t>Data security on equipment and management consoles. Access to data. Data retention and erasure rules</t>
  </si>
  <si>
    <t>Sécurité des données sur les équipements et sur les consoles d'administration. Accès aux données. Règles de conservation et d'effacement des données.</t>
  </si>
  <si>
    <t>CC</t>
  </si>
  <si>
    <t>CUSTOMER RELATIONSHIP SERVICE - CALL CENTER SERVICES / PRESTATIONS DE SERVICE RELATIONS CLIENTS - CALL CENTER</t>
  </si>
  <si>
    <t>CC-1</t>
  </si>
  <si>
    <t>Location of staff (country/town)</t>
  </si>
  <si>
    <t>Localisation des équipes (pays/ville)</t>
  </si>
  <si>
    <t>CC-2</t>
  </si>
  <si>
    <t>Staff has been adequately screened. Background verification checks have been carried out in accordance with relevant laws, regulations and ethics. They are proportional to the sensitivity of the services.</t>
  </si>
  <si>
    <t>Les personnels ont été sélectionnés avec soin.  Les vérifications des informations concernant ces personnels sont réalisées conformément aux lois, aux règlements et à l’éthique, et sont proprotionnelles à la sensibilité des missions.</t>
  </si>
  <si>
    <t>CC-3</t>
  </si>
  <si>
    <t>Physical security of the Company's premises</t>
  </si>
  <si>
    <t>Sécurité des locaux de la Société</t>
  </si>
  <si>
    <t>CC-4</t>
  </si>
  <si>
    <t>Dedicated premises or secure premises area dedicated to the Customer or shared with other customers.</t>
  </si>
  <si>
    <t>Locaux dédiés ou zone de locaux sécurisée et dédiée au Client ou partage avec d'autres clients.</t>
  </si>
  <si>
    <t>CC-5</t>
  </si>
  <si>
    <t>CC-6</t>
  </si>
  <si>
    <t>User accounts provisioning / deprovisioning of the staff. How does the Company provide identity of staff hired and staff leaving?</t>
  </si>
  <si>
    <t>Principe de provisioning / deprovisioning des comptes de ces personnels. Comment la Société assure-t-elle la gestion des identités lors des entrées/sorties des personnels?</t>
  </si>
  <si>
    <t>CC-7</t>
  </si>
  <si>
    <t>Use of individual accounts</t>
  </si>
  <si>
    <t>CC-8</t>
  </si>
  <si>
    <t>Network security (segmentation, firewalls, NAC)</t>
  </si>
  <si>
    <t>Sécurité des réseaux (segmentation, firewalls, NAC)</t>
  </si>
  <si>
    <t>CC-9</t>
  </si>
  <si>
    <t>Hardening of workstations used by the staff</t>
  </si>
  <si>
    <t>Durcissement des postes de travail utilisés par le personnel</t>
  </si>
  <si>
    <t>CC-10</t>
  </si>
  <si>
    <t>Workstations never used outside of the premises, non local storage of documents or data on these workstations</t>
  </si>
  <si>
    <t>Pas d'utilisation des postes de travail en dehors des locaux, pas de stockage de données et documents sur les postes de travail</t>
  </si>
  <si>
    <t>CC-11</t>
  </si>
  <si>
    <t>Secure storage for any document related to the services</t>
  </si>
  <si>
    <t>Espace de stockage sécurisé pour les documents relatifs à la prestation</t>
  </si>
  <si>
    <t>CC-12</t>
  </si>
  <si>
    <t>Name and security of the call center application: architecture, accounts, authentication, access rights, etc</t>
  </si>
  <si>
    <t>Nom et sécurisation de l'application de call center: architecture, comptes, authentification, droits d'accès, etc.</t>
  </si>
  <si>
    <t>CC-13</t>
  </si>
  <si>
    <t>Security of audio recording: storage, right to listen, sonservation, erasure</t>
  </si>
  <si>
    <t>Sécurité des enregistrements audio: stockage, droit d'écoute, conservation, effacement</t>
  </si>
  <si>
    <t>CC-14</t>
  </si>
  <si>
    <t>Name and security of the telephony system</t>
  </si>
  <si>
    <t>Nom et sécurisation de l'application de téléphonie</t>
  </si>
  <si>
    <t>CC-15</t>
  </si>
  <si>
    <t>Principles and security of the interface between telephony and Client Information System</t>
  </si>
  <si>
    <t>Principe  et sécurisation du système de couplage entre la téléphonie et le SI du Client</t>
  </si>
  <si>
    <t>CC-16</t>
  </si>
  <si>
    <t>Traceability of the different systems used and possibility for the Customer to access or recover these traces</t>
  </si>
  <si>
    <t>Traçabilité des différents systèmes utilisés et possibilité pour le Client d'accéder à ou de récupérer ces traces</t>
  </si>
  <si>
    <t>CC-17</t>
  </si>
  <si>
    <t>Staff awareness of the Customer's communication rules</t>
  </si>
  <si>
    <t>Sensibilisation des personnels au respect des règles de communication du Client</t>
  </si>
  <si>
    <t>EVT</t>
  </si>
  <si>
    <t>CUSTOMER RELATIONSHIP SERVICE - EVENTS SERVICES / PRESTATIONS DE SERVICE RELATIONS CLIENTS - EVENTS</t>
  </si>
  <si>
    <t>EVT-1</t>
  </si>
  <si>
    <t>What secure system approved by the Customer would be used to exchange documents and data with the Client and sub- contractors ?</t>
  </si>
  <si>
    <t>Quel système sécurisé et approuvé par le client serait utilisé pour échanger des documents et données avec le Client et avec des sous-traitants ?</t>
  </si>
  <si>
    <t>EVT-2</t>
  </si>
  <si>
    <t>Sécurité du système du prestataire hébergeant les données et documents fournis par le client et nécessaires à la mission ainsi les résultats, documents et tous contenus produits par le prestataire au cours de la mission.</t>
  </si>
  <si>
    <t>EVT-3</t>
  </si>
  <si>
    <t>EVT-4</t>
  </si>
  <si>
    <t>EVT-5</t>
  </si>
  <si>
    <t>EVT-6</t>
  </si>
  <si>
    <t>EVT-7</t>
  </si>
  <si>
    <t>EVT-8</t>
  </si>
  <si>
    <t>EVT-9</t>
  </si>
  <si>
    <t>Awareness of employees to confidentility in general, and to contractual commitments, related to the mission</t>
  </si>
  <si>
    <t>Sensibilisation des personnels à la confidentialité des informations en général et aux obligations contractuelles de confidentialité pour la mission</t>
  </si>
  <si>
    <t>EVT-10</t>
  </si>
  <si>
    <t>Awareness of employees to comply with Customer's communication rules</t>
  </si>
  <si>
    <t>EVT-11</t>
  </si>
  <si>
    <t>Ability to integrate technical security rules on messaging and brand domains if using emailing</t>
  </si>
  <si>
    <t>Capacité à intégrer des règles techniques de sécurité sur la messagerie et les domaines de la marque si recours à du emailing</t>
  </si>
  <si>
    <t>EVT-12</t>
  </si>
  <si>
    <t>EVT-13</t>
  </si>
  <si>
    <t>Protection of physical information media used during events (photos, USB media, guest lists, printed programs and presentations, etc.)</t>
  </si>
  <si>
    <t>Protection des supports physiques d'information utilisés pendant les évènements (photos, media USB, listes d'invités, programmes et présentations imprimés, etc.)</t>
  </si>
  <si>
    <t>TOP RISKS : CYBER AND PRIVACY IMPACT (IF PIA)</t>
  </si>
  <si>
    <t>To be filled if  PIA required</t>
  </si>
  <si>
    <t>Risk id</t>
  </si>
  <si>
    <t>Risk description</t>
  </si>
  <si>
    <t>Due to….
Threat scenarios</t>
  </si>
  <si>
    <t>Type of risk</t>
  </si>
  <si>
    <t>Impact description of cyber risk
(company's perspective if applicable)</t>
  </si>
  <si>
    <t>Impact level
(1: none or low, 2:medium, 3:high, 4:very high)</t>
  </si>
  <si>
    <t>Impact description of privacy risk
(subjects' privacy perspective if applicable)</t>
  </si>
  <si>
    <t>Likelihood
(1: very low, 2:low, 3:medium, 4:high)</t>
  </si>
  <si>
    <t>Global risk value
(1 to 16)</t>
  </si>
  <si>
    <t>Global risk level (severity: LOW, MEDIUM or HIGH)</t>
  </si>
  <si>
    <t>Residual risk accepted</t>
  </si>
  <si>
    <t>TOP risks</t>
  </si>
  <si>
    <t>R1</t>
  </si>
  <si>
    <t>Data disclosure</t>
  </si>
  <si>
    <t>-Lack of Protection tools and monitoring of key systems
- Malware infection and propagation
- Misuse of priviledge account
- Identity theft of priviledge account</t>
  </si>
  <si>
    <t>Cyber &amp; Privacy</t>
  </si>
  <si>
    <t xml:space="preserve">
'-Penalties by competent Authorities due to non-Compliance for lack of protection of personal data
-Claims by subjets
-Reputational damage with indirect loss of business
</t>
  </si>
  <si>
    <t>R2</t>
  </si>
  <si>
    <t>Unauthorized access to data and company or subjects lose control over their data</t>
  </si>
  <si>
    <t xml:space="preserve">
'-Penalties by competent Authorities due to non-Compliance for lack of protection of personal data
-Reputational damage with indirect loss of business
</t>
  </si>
  <si>
    <t>R3</t>
  </si>
  <si>
    <t xml:space="preserve">Unautorized/unwanted changes that lead to malfunction and errors (data/systems have been modified voluntarily or not) </t>
  </si>
  <si>
    <t>- Lack of consistent users provisioning and deprovisioning process to enforce  segregation of duties
- Lack of Protection tools and monitoring of key systems
- Malware infection and propagation
- Misuse of priviledge account
- Identity theft of priviledge account</t>
  </si>
  <si>
    <t>Cyber</t>
  </si>
  <si>
    <t>Fraud in case of modification of Customer delivery address
Disruption, productivity loss</t>
  </si>
  <si>
    <t>R4</t>
  </si>
  <si>
    <t>Business Disruption/ Unavailability of application/Service</t>
  </si>
  <si>
    <t>-Lack of redundancy
-Lack of Protection tools and monitoring of key systems
- Malware infection and propagation
- Misuse of priviledge account
- Identity theft of priviledge account</t>
  </si>
  <si>
    <t xml:space="preserve">-Customers are not able to log-in in the Ecommerce app
-Lost of revenu, no sales
-Reputational damage with direct loss of business
- Disruption, productivity loss
</t>
  </si>
  <si>
    <t>R5</t>
  </si>
  <si>
    <t>Data lost</t>
  </si>
  <si>
    <t>+ Unable to restore data or system because backup wasn’t correctly executed and checked, and restoration process was never tested
-Lack of Protection tools and monitoring of key systems
- Unsecure data transfer / storage used by  3rd party
- Malware infection and propagation
- Misuse of priviledge account
- Identity theft of priviledge account</t>
  </si>
  <si>
    <t xml:space="preserve">
'-Penalties by competent Authorities due to non-Compliance for lack of protection of personal data
-Claims by subjets
-Reputational damage with indirect loss of business
- Disruption, productivity loss</t>
  </si>
  <si>
    <t>R6</t>
  </si>
  <si>
    <t>Theft of  customer payment information</t>
  </si>
  <si>
    <t>Unsecure process for sending SMS and emailing to end customer
See details of pentest report</t>
  </si>
  <si>
    <t>Fraud in case of fake purchases on behalf of megitimate customer
-Reputational damage with indirect loss of business
- Rrisk of Non-Compliance for lack of protection of personal data</t>
  </si>
  <si>
    <t>Controls to protect Payment customer information reviewed by  externatl auditor CNPP in the framework of PCI-DSS Certitication</t>
  </si>
  <si>
    <t>R7</t>
  </si>
  <si>
    <t>SECURITY CONTOLS - RISK TREATMENT</t>
  </si>
  <si>
    <t>Domain</t>
  </si>
  <si>
    <t>Control ID</t>
  </si>
  <si>
    <t>Control description</t>
  </si>
  <si>
    <t>Selected measure</t>
  </si>
  <si>
    <t>Description of the measure</t>
  </si>
  <si>
    <t>Risks list (Ri, Rj,...)</t>
  </si>
  <si>
    <t>Implementation date</t>
  </si>
  <si>
    <t>Implementation status</t>
  </si>
  <si>
    <t xml:space="preserve">Security Policy </t>
  </si>
  <si>
    <t>SP01</t>
  </si>
  <si>
    <t xml:space="preserve">Applicability of SEPHORA - Ecommerce Information Security Policy </t>
  </si>
  <si>
    <t>Mandatory - P1</t>
  </si>
  <si>
    <t>SP02</t>
  </si>
  <si>
    <t>Applicability of SEPHORA - LVMH - Network security policy</t>
  </si>
  <si>
    <t>SP03</t>
  </si>
  <si>
    <t>Applicability of SEPHORA - Sephora - Mobile Devices Security Policy</t>
  </si>
  <si>
    <t>SP04</t>
  </si>
  <si>
    <t xml:space="preserve">Applicability of SEPHORA - Sephora - Point of Sale Security Policy </t>
  </si>
  <si>
    <t>SP05</t>
  </si>
  <si>
    <t xml:space="preserve">Applicability of SEPHORA - Sephora - web site information security policy </t>
  </si>
  <si>
    <t>SP06</t>
  </si>
  <si>
    <t>Applicability of SEPHORA - Sephora- Privileged accounts Security policy</t>
  </si>
  <si>
    <t>SP07</t>
  </si>
  <si>
    <t>Applicability of SEPHORA - Sephora - Log Management Security Policy</t>
  </si>
  <si>
    <t>SP08</t>
  </si>
  <si>
    <t>Applicability of Sephora developement security policy</t>
  </si>
  <si>
    <t>Third party</t>
  </si>
  <si>
    <t>M01</t>
  </si>
  <si>
    <t>Contract with provider includes security clauses, SLA, and 3rd party Security Policy…</t>
  </si>
  <si>
    <t>M02</t>
  </si>
  <si>
    <t xml:space="preserve">Third parties solutions used by the partner (SMS/emailing)  include security clauses and 3rd party secureity policy </t>
  </si>
  <si>
    <t>M03</t>
  </si>
  <si>
    <t>Physical &amp; environmental protection of datacenters (physical access controls, power supply, climate control, fire, flooding, earthquake…)</t>
  </si>
  <si>
    <t>M04</t>
  </si>
  <si>
    <t>Datacenter's certifications</t>
  </si>
  <si>
    <t>Architecture</t>
  </si>
  <si>
    <t>M05</t>
  </si>
  <si>
    <t>Virtualized environment</t>
  </si>
  <si>
    <t>M06</t>
  </si>
  <si>
    <t>Dedicated environment (no mutualization between customers)</t>
  </si>
  <si>
    <t>M07</t>
  </si>
  <si>
    <t>3 tier architecture</t>
  </si>
  <si>
    <t>M08</t>
  </si>
  <si>
    <t>Network separation, firewall, flows and filtering matrix</t>
  </si>
  <si>
    <t>M09</t>
  </si>
  <si>
    <t>Flows encryption, secured protocols…</t>
  </si>
  <si>
    <t>M10</t>
  </si>
  <si>
    <t>Secured interfaced between applications (authentication, encryption…)</t>
  </si>
  <si>
    <t>M11</t>
  </si>
  <si>
    <t>Separated environments : development, staging and production</t>
  </si>
  <si>
    <t>M12</t>
  </si>
  <si>
    <t>Web application filtering (reverse-proxy, WAF…)</t>
  </si>
  <si>
    <t>M13</t>
  </si>
  <si>
    <t>Protection against Denial-of-Service</t>
  </si>
  <si>
    <t>M14</t>
  </si>
  <si>
    <t>Intrusion detection system</t>
  </si>
  <si>
    <t>M15</t>
  </si>
  <si>
    <t>M16</t>
  </si>
  <si>
    <t>Hardening of systems, middlewares and applications</t>
  </si>
  <si>
    <t>M17</t>
  </si>
  <si>
    <t>Patch management (servers, equipment, applications, databases, middlewares)</t>
  </si>
  <si>
    <t>Endpoint client</t>
  </si>
  <si>
    <t>M18</t>
  </si>
  <si>
    <t>Laptop encryption</t>
  </si>
  <si>
    <t>M19</t>
  </si>
  <si>
    <t>Mobile device management</t>
  </si>
  <si>
    <t>M20</t>
  </si>
  <si>
    <t>Antimalware + EDR</t>
  </si>
  <si>
    <t>M21</t>
  </si>
  <si>
    <t>Hardening systems of workstations and laptops</t>
  </si>
  <si>
    <t>M22</t>
  </si>
  <si>
    <t>Patch management (workstations, laptops)</t>
  </si>
  <si>
    <t>M23</t>
  </si>
  <si>
    <t>Network access control</t>
  </si>
  <si>
    <t>M24</t>
  </si>
  <si>
    <t>Restrict Local access rights to end users</t>
  </si>
  <si>
    <t>M25</t>
  </si>
  <si>
    <t>No BYOD allowed, only corporate clients</t>
  </si>
  <si>
    <t>Continuity</t>
  </si>
  <si>
    <t>M26</t>
  </si>
  <si>
    <t>Data backup solution and backup strategy</t>
  </si>
  <si>
    <t>M27</t>
  </si>
  <si>
    <t>Off-site data backup storage</t>
  </si>
  <si>
    <t>M28</t>
  </si>
  <si>
    <t>High-availabilty solutions</t>
  </si>
  <si>
    <t>M29</t>
  </si>
  <si>
    <t>DRP, DRP tested regularly</t>
  </si>
  <si>
    <t>M30</t>
  </si>
  <si>
    <t>Supervision (parameters, configuration reviews, real time monitoring…), availability SLA follow-up</t>
  </si>
  <si>
    <t>IAM</t>
  </si>
  <si>
    <t>M31</t>
  </si>
  <si>
    <t>Users accounts provisioning /de-provisioning</t>
  </si>
  <si>
    <t>M32</t>
  </si>
  <si>
    <t>Formal commitment of the users</t>
  </si>
  <si>
    <t>M33</t>
  </si>
  <si>
    <t>Identity Federation : authentication delegated to Active Directory</t>
  </si>
  <si>
    <t>M34</t>
  </si>
  <si>
    <t>SSO</t>
  </si>
  <si>
    <t>M35</t>
  </si>
  <si>
    <t>Local account and password policy (length, complexity, lifetime…)</t>
  </si>
  <si>
    <t>M36</t>
  </si>
  <si>
    <t>Multi-factor authentication</t>
  </si>
  <si>
    <t>M37</t>
  </si>
  <si>
    <t>Separation of Duties (SoD) &amp; Role management . Mainly Between standard and Admin role</t>
  </si>
  <si>
    <t>M38</t>
  </si>
  <si>
    <t>Periodical accounts reviews</t>
  </si>
  <si>
    <t>M39</t>
  </si>
  <si>
    <t>Bastion for connection by 3rd parties</t>
  </si>
  <si>
    <t>Developpement</t>
  </si>
  <si>
    <t>M40</t>
  </si>
  <si>
    <t>Security development charter</t>
  </si>
  <si>
    <t>M41</t>
  </si>
  <si>
    <t>Security development training</t>
  </si>
  <si>
    <t>M42</t>
  </si>
  <si>
    <t>Code review execution and remediation</t>
  </si>
  <si>
    <t>Logs</t>
  </si>
  <si>
    <t>M43</t>
  </si>
  <si>
    <t>Logs exist, direct access by administrator and export on demand.</t>
  </si>
  <si>
    <t>M44</t>
  </si>
  <si>
    <t>Logs collected and monitored by the Cyber SOC</t>
  </si>
  <si>
    <t>M45</t>
  </si>
  <si>
    <t>Configuration audit</t>
  </si>
  <si>
    <t>M46</t>
  </si>
  <si>
    <t>White/Black/Grey box pentest</t>
  </si>
  <si>
    <t>M47</t>
  </si>
  <si>
    <t>Audit results provided by supplier</t>
  </si>
  <si>
    <t>M48</t>
  </si>
  <si>
    <t>Recurrent vulnerability scans</t>
  </si>
  <si>
    <t>Data</t>
  </si>
  <si>
    <t>M49</t>
  </si>
  <si>
    <t>Data integrity checks (reviews, automatic checks…)</t>
  </si>
  <si>
    <t>M50</t>
  </si>
  <si>
    <t>Data segregation (dedicated database, for example)</t>
  </si>
  <si>
    <t>M51</t>
  </si>
  <si>
    <t>Anonymization for all data</t>
  </si>
  <si>
    <t>M52</t>
  </si>
  <si>
    <t>Anonymized data on development and staging environment</t>
  </si>
  <si>
    <t>M53</t>
  </si>
  <si>
    <t>Pseudonymization / Tokenisation</t>
  </si>
  <si>
    <t>M54</t>
  </si>
  <si>
    <t>Watermarks for data and/or documents</t>
  </si>
  <si>
    <t>M55</t>
  </si>
  <si>
    <t>Data Leak Prevention solution</t>
  </si>
  <si>
    <t>M56</t>
  </si>
  <si>
    <t xml:space="preserve">Shadow IT : detection / prevention </t>
  </si>
  <si>
    <t>URL filtering - Servers</t>
  </si>
  <si>
    <t>M57</t>
  </si>
  <si>
    <t>URL filtering - Workstation</t>
  </si>
  <si>
    <t>M58</t>
  </si>
  <si>
    <t>Hardware encryption</t>
  </si>
  <si>
    <t>M59</t>
  </si>
  <si>
    <t>Database and/or file encryption</t>
  </si>
  <si>
    <t>M60</t>
  </si>
  <si>
    <t>Data removal when hardware is deprovisioned</t>
  </si>
  <si>
    <t>M61</t>
  </si>
  <si>
    <t>Solution for wiping mobile devices in case of loss / theft</t>
  </si>
  <si>
    <t>M62</t>
  </si>
  <si>
    <t>Physical protection on printed data/documents and other papers containing data</t>
  </si>
  <si>
    <t>Privacy</t>
  </si>
  <si>
    <t>M63</t>
  </si>
  <si>
    <t>Solution for extracting data for access or portability</t>
  </si>
  <si>
    <t>M64</t>
  </si>
  <si>
    <t>Solution for retention period (automatic purge)</t>
  </si>
  <si>
    <t>M65</t>
  </si>
  <si>
    <t>Solution for selective removal of data / Anonimization</t>
  </si>
  <si>
    <t>M66</t>
  </si>
  <si>
    <t>Personal data stored in EU or in a equivalent location</t>
  </si>
  <si>
    <t>M67</t>
  </si>
  <si>
    <t>Administrators/operators/helpdesk located in EU or in a equivalent location</t>
  </si>
  <si>
    <t>M68</t>
  </si>
  <si>
    <t>Awareness / training sessions for IT people</t>
  </si>
  <si>
    <t>M69</t>
  </si>
  <si>
    <t>M70</t>
  </si>
  <si>
    <t>Publication of procedures for personal data handling</t>
  </si>
  <si>
    <t>Incident</t>
  </si>
  <si>
    <t>M71</t>
  </si>
  <si>
    <t>Incident management process including crisis management process and data breach notification</t>
  </si>
  <si>
    <t>Other (custom measures)</t>
  </si>
  <si>
    <t>M72</t>
  </si>
  <si>
    <t>Cookies management according to the law</t>
  </si>
  <si>
    <t>Score</t>
  </si>
  <si>
    <t>Partie concernée</t>
  </si>
  <si>
    <t>Parties</t>
  </si>
  <si>
    <t>le client</t>
  </si>
  <si>
    <t>client</t>
  </si>
  <si>
    <t>le prestataire</t>
  </si>
  <si>
    <t>service provider</t>
  </si>
  <si>
    <t>les parties</t>
  </si>
  <si>
    <t>both parties</t>
  </si>
  <si>
    <t>Party</t>
  </si>
  <si>
    <t>customer</t>
  </si>
  <si>
    <t>provider</t>
  </si>
  <si>
    <t>parties</t>
  </si>
  <si>
    <t>Conformité</t>
  </si>
  <si>
    <t>Full</t>
  </si>
  <si>
    <t>Partial</t>
  </si>
  <si>
    <t>Not compliant</t>
  </si>
  <si>
    <t>Compliance</t>
  </si>
  <si>
    <t>Critères / Criteria</t>
  </si>
  <si>
    <t>Applicaibilité</t>
  </si>
  <si>
    <t>Oui</t>
  </si>
  <si>
    <t>n.a.</t>
  </si>
  <si>
    <t>Applicaibility</t>
  </si>
  <si>
    <t>Oui / Yes</t>
  </si>
  <si>
    <r>
      <rPr>
        <b/>
        <sz val="14"/>
        <color rgb="FFFFFFFF"/>
        <rFont val="Calibri"/>
        <family val="2"/>
        <scheme val="minor"/>
      </rPr>
      <t xml:space="preserve">Other - Specific to the project
</t>
    </r>
    <r>
      <rPr>
        <i/>
        <sz val="14"/>
        <color rgb="FFFFFFFF"/>
        <rFont val="Calibri"/>
        <family val="2"/>
        <scheme val="minor"/>
      </rPr>
      <t>Examples : Singl Sign On, Rights matrix, Data life cycle control, etc…</t>
    </r>
  </si>
  <si>
    <t>Description of profile rights and features</t>
  </si>
  <si>
    <t xml:space="preserve">Single Sign-On (SSO) authentication must be configured with the Sephora (or LVMH group’s) SSO instance, based on the Okta solution. All solutions provided as part of the service, on which Sephora users authenticate via a Sephora email address, must therefore be compatible with Okta, SAML or OpenID Connect protocols.
/
L’authentification Single Sign-On (SSO) doit être configurée avec l’instance SSO de Sephora (ou du groupe LVMH), basée sur la solution Okta. Toutes les solutions fournies dans le cadre du service, sur lesquelles des utilisateurs Sephora s’authentifient via une adresse email Sephora, doivent donc être compatibles avec les protocoles Okta, SAML ou OpenID Connect.
</t>
  </si>
  <si>
    <t>The service provider implements a mechanism to delete personal data of customers beyond a default retention period of 28 days.
In case of specific needs or regulatory requirements, different storage arrangements may be put in place, provided they are agreed with the customer.
The service provider also undertakes to apply the customer’s procedures regarding the right to be forgotten and the erasure of data.
It ensures that deleted data is permanently erased from all active systems, backups and logs in accordance with the agreed terms.
/
Le prestataire met en œuvre un mécanisme de suppression des données personnelles des clients au-delà d’une durée maximale de conservation par défaut de 28 jours.
En cas de besoins spécifiques ou d’exigences réglementaires, des modalités de conservation différentes peuvent être mises en place, à condition qu’elles soient définies avec le client.
Le prestataire s’engage par ailleurs à appliquer les procédures du client en matière de droit à l’oubli et d’effacement des données.
Il garantit que les données supprimées sont définitivement effacées de l’ensemble des systèmes actifs, des sauvegardes et des journaux, conformément aux modalités convenues.</t>
  </si>
  <si>
    <t>Set up the Akamai WAF if the configuration of the partner WAF is not compliant</t>
  </si>
  <si>
    <t>Request partner PCI-DSS attestation</t>
  </si>
  <si>
    <t>Setup SSO Okta</t>
  </si>
  <si>
    <t>Formalize a rights matrix</t>
  </si>
  <si>
    <t>Check the implementation of the DMZ</t>
  </si>
  <si>
    <t>Customer data obfuscation</t>
  </si>
  <si>
    <t xml:space="preserve">Check the versions of the communication protocols and encryption used </t>
  </si>
  <si>
    <t>The service provider must have a Web Application Firewall (WAF) protecting all services exposed to the Internet. This WAF must comply with the security requirements defined by the client.
If the service provider does not have a WAF, or if the existing measures do not meet the client’s requirements, the client may require the use of its own WAF to protect the relevant services. The service provider shall then cooperate in its implementation, ensuring the compatibility of its systems.
Any modification to the WAF configuration must be communicated to the client and approved by them.
/
Le prestataire doit disposer d’un pare-feu applicatif (WAF) protégeant l’ensemble des services exposés sur Internet. Ce WAF doit être conforme aux exigences de sécurité définies par le client.
Si le prestataire ne dispose pas de WAF ou si les mesures en place ne répondent pas aux exigences du client, ce dernier pourra imposer l’usage de son propre WAF en protection des services concernés. Le prestataire devra alors coopérer à sa mise en œuvre, en assurant la compatibilité de ses systèmes.
Toute modification de configuration du WAF devra être communiquées au client et validées par celui-ci.</t>
  </si>
  <si>
    <t>Chiffrement des données au niveau applicatif, type et gestion du cycle de vie des clés et certificats, coffre-forts pour les clés
Quels protocoles ou mécanismes techniques sont utilisés pour le chiffrement des données au niveau applicatif ?
Comment le cycle de vie des clés et certificats est-il géré ?
Les clés sont-elles stockées dans un coffre-fort sécurisé ?
Une solution de coffre est il utilisé, si oui laquelle ?</t>
  </si>
  <si>
    <t>Gestion des rôles techniques (administrateurs) et métiers, contrôle d'accès et ségrégation des tâches
Les rôles et les droits d'accès sont-ils gérés en interne ou via l'application ?
Quels sont les rôles définis par défaut ?
Comment est géré la ségrégation des droits ?</t>
  </si>
  <si>
    <t>Revue de code (statique ou dynamique) et tests d'intrusion
Quelle solution permettant utilisez-vous pour la revu de code ?
Réalisez-vous des revues de code statique ou dynamique ?
A quelle fréquence réalisez-vous des revues de code ?</t>
  </si>
  <si>
    <t>The service provider shall use separate development, integration, staging and production environments. Development and integration environments must use anonymous test data.
Non-production environments must never be exposed publicly on the Internet, in order to limit the risks of data leaks.
/
Le prestataire met en œuvre des environnements de développement, intégration, pré-production et production séparés. Les environnements de développement et d’intégration doivent utiliser des données fictives et/ou anonymes au sens de la réglementation applicable et des autorités de contrôle.
Les environnements hors production ne doivent pas être exposés publiquement sur Internet, afin de limiter les risques de fuite de données.</t>
  </si>
  <si>
    <t>The service provider guarantees that the DMARC and SPF configurations of domains and sub-domains used for the services provided and likely to send emails comply with the client's security requirements. The DMARC policy must contains the value "p=reject", and the SPF value must be "v=spf1 -al". The service provider must also ensure that the associated DNS records are correctly published and kept up to date.
/
Le prestataire garantit que les configurations DMARC et SPF des domaines ou sous-domaines utilisés dans le cadre du service et susceptible d'envoyer des e-mails sont conformes aux exigences de sécurité du client. La configuration DMARC doit contenir la valeur "p=reject", et la valeur du SPF doit être "v=spf1 -all". Le partenaire doit également s’assurer que les enregistrements DNS associés sont correctement publiés et maintenus à jour.</t>
  </si>
  <si>
    <t>7.8</t>
  </si>
  <si>
    <t>7.9</t>
  </si>
  <si>
    <t>6.9</t>
  </si>
  <si>
    <t>Role management, access control and segregation of duties
Are roles and access rights managed directly from the solution or by the partner ?
How are roles defined by default ?
How is the segregation of duties managed ?</t>
  </si>
  <si>
    <t>Secure communication protocols
Which protocol and technical means do you use to encrypt data in transit ?</t>
  </si>
  <si>
    <t>Sécurité des protocoles de communication
Quels protocoles sont utilisés pour le chiffrement des communications ?</t>
  </si>
  <si>
    <t>SA-01-23</t>
  </si>
  <si>
    <t>SA-01-24</t>
  </si>
  <si>
    <t>Do the service provided include email notification and sending ?
If yes, can you provide your DMARC and SPF configuration ?</t>
  </si>
  <si>
    <t>What are the domain and/or subdomain names used for the solution ?</t>
  </si>
  <si>
    <t>Quels sont les domaines et/ou sous-domaines utililisés dans le cadre de la solution ?</t>
  </si>
  <si>
    <t>Des e-mails sont-ils envoyés dans le cadre de la solution ? 
Quelle est votre configuration DMARC et SPF ?</t>
  </si>
  <si>
    <t>Patch management of components (including underlying solution and CMS, where applicable)
Please describe your patch management process for components of the infrastructure (servers, libraries, CMS, middlewares…)
How do you handle vulnerabilities depending on their criticality ?</t>
  </si>
  <si>
    <t>Gestion des correctifs de sécurité (incluant la solution et le CMS sous-jacent(s), si applicable)
Décrivez votre processus de gestion des correctifs des différents composants de l'infrastructure (serveurs, bibliothèques, CMS sous-jacents, si applicable).
Quelle est la fréquence de l’application des correctifs en fonction du niveau de criticité des vulnérabilités identifiées ?</t>
  </si>
  <si>
    <t>Vulnerability scans : tools and frequency, correction period
What solution do you use for vulnerability scans ?
At which frequency do you perform vulnerability scans ?
How do you handle vulnerability depending on their criticality ?</t>
  </si>
  <si>
    <t>Scans de vulnérabilité : outils et fréquence, délai de correction
Quelle solution utilisez-vous pour les scans de vulnérabilité ?
A quelle fréquence réalisez-vous des scans de vulnérabilité ? 
Quelle est le délai de l’application des correctifs en fonction du niveau de criticité des vulnérabilités identifiées ?</t>
  </si>
  <si>
    <t>Code review (static or dynamic)
What solution do you use for code reviews ?
Do you perform static ou dynamic code reviews ?
At which frequency do you perform code reviews ?</t>
  </si>
  <si>
    <t>Penetration tests
When was the last penetration test executed on the solution ?
At which frequency do you perform penetration tests ?
Please append the report of the last penetration test to the answer</t>
  </si>
  <si>
    <t>Tests d'intrusion
A quand remonte le dernier test d'intrusion réalisé sur la solution ?
A quelle fréquence réalisez-vous des tests d'intrusion ?
Veuillez joindre à votre réponse le rapport du dernier test</t>
  </si>
  <si>
    <t>Data encryption at application layer, type and lifecycle of keys and certificates, e-safes
Which protocol and technical means are used to encrypt data at rest at an application layer ?
Can you describe your encryption key management process ?
Where are stored encryption keys ?
If you use a key vault solution, which is it ?</t>
  </si>
  <si>
    <t>Database encryption
Which protocol or technical means are used to encrypt data at rest at a database layer ?</t>
  </si>
  <si>
    <t xml:space="preserve">Chiffrement de la base de données
Quels protocoles ou mécanismes techniques sont utilisés pour le chiffrement des données stockées dans la base de données ?
</t>
  </si>
  <si>
    <t>Segregation of data from different customers (or or more instances)
How are data segregated between clients ? (Logical/physical segregation)
Please describe your data segregation process.
Which resources are mutualised between clients ?
Is the solution mono-tenant or multi-tenant</t>
  </si>
  <si>
    <t>Cloisonnement des données entre les différents clients (une ou plusieurs instances)
Comment les données de Sephora sont-elles dissociées de celles des autres ?
Décrivez vos mécanismes de cloisonnement des données. Sont-ils logiques (via la structure applicative) ou physiques (infrastructure dédiée) ?
Des ressources (infrastructure, BDD, services) sont-elles mutualisées entre plusieurs clients ?
Votre solution est-elle basée sur une architecture mono-tenant ou multi-tenant ?</t>
  </si>
  <si>
    <t>Denial of Service protection
Which measures are implemented against denial of services attacks ?</t>
  </si>
  <si>
    <t>Protection contre les dénis de service
Quelles mesures sont mises en place pour la protection contres les dénis de service ?</t>
  </si>
  <si>
    <t>Malware protection
Which measures are implemented against malwares ?</t>
  </si>
  <si>
    <t>Protection contre les malwares
Quelles mesures sont mises en place pour la protection contre les malwares ?</t>
  </si>
  <si>
    <t>Firewalls applicatifs web (WAF)
Quelle est la solution WAF (Web Applicatifs Firewalls) utilisée ?
Pouvez-vous lister les fonctionnalités activées ?
- Protection contre les attaques DDoS
- Protection contre les vulnérabilités du Top 10 OWASP
- Mode prévention
- Système de monitoring et d’alerting en temps réel
- Possibilité de geo-blocking
- Configuration possible de règle personnalisée contre les bots
- Possibilité de rate limiting
- Utilisation d'une base de réputation IP/ASN
- Protection spécifique pour les API 
- Autre : Précisez</t>
  </si>
  <si>
    <t>Web application Firewalls (WAF)
Which WAF solution is implemented on the infrastructure ?
Could you specify the functionnalities configured :
- Top 10 OWASP vulnerabilities protection
- Anti-DDOS protection
- Prevention mode activated
- Monitoring and real-time alerting system
- Geo-blocking
- Custom ruleset against bots
- Rate limiting
- API protection 
- ASP &amp; IP reputation blacklist/whitelist
- Others</t>
  </si>
  <si>
    <t>Firewalls réseaux, zones, cloisonnement
Quelle est la solution ainsi que le type (matériel, logiciel) de firewall réseau déployés?
Les firewalls sont-ils configurés selon le principe du "deny by default" ?
A quelle fréquence réalisez-vous des revues des règles de firewalls ?
Comment le reseau est-il cloisonné/segmenté ?</t>
  </si>
  <si>
    <t>Firewalls (networks), zones, segmentation
Do you have a firewall implemented at a network level ? (Physical/Logical)
Are firewall configured following the "deny by default" principle ?
At which frequency do you review the firewall rules ?
How is your network segmented ?</t>
  </si>
  <si>
    <t>IDS/IPS
Which IDS and/or IPS do you use ?</t>
  </si>
  <si>
    <t>IDS/IPS
Quelle est la solution IDS et/ou IPS utilisée ?</t>
  </si>
  <si>
    <t>Infrastructure audits
At which frequency do you realise infrastructure audits ?</t>
  </si>
  <si>
    <t>Audits d'infrastructure
A quelle fréquence réalisez-vous des audits d'infrastructures ?</t>
  </si>
  <si>
    <t xml:space="preserve">Budget &amp; plan a penetration test </t>
  </si>
  <si>
    <t>Engage with the Cyber security team to identify specific security requirements and architecture review</t>
  </si>
  <si>
    <t>Implement anti-bruteforce measures</t>
  </si>
  <si>
    <t>Cloud / SaaS</t>
  </si>
  <si>
    <t>Permanent</t>
  </si>
  <si>
    <r>
      <rPr>
        <b/>
        <sz val="11"/>
        <color theme="0"/>
        <rFont val="Calibri"/>
        <family val="2"/>
        <scheme val="minor"/>
      </rPr>
      <t>Front office -</t>
    </r>
    <r>
      <rPr>
        <sz val="11"/>
        <color theme="0"/>
        <rFont val="Calibri"/>
        <family val="2"/>
        <scheme val="minor"/>
      </rPr>
      <t xml:space="preserve"> Gestion de comptes (entrées/sorties) et authentification : politique de mot de passe (complexité, longueur, renouvellement, historique, blocage, reset...), authentification locale ou déléguée, sécurité du stockage des credentials si locale,  support de SAML, authentification forte, captcha, revue des droits etc.</t>
    </r>
  </si>
  <si>
    <r>
      <rPr>
        <b/>
        <sz val="11"/>
        <color theme="0"/>
        <rFont val="Calibri"/>
        <family val="2"/>
        <scheme val="minor"/>
      </rPr>
      <t>Front office -</t>
    </r>
    <r>
      <rPr>
        <sz val="11"/>
        <color theme="0"/>
        <rFont val="Calibri"/>
        <family val="2"/>
        <scheme val="minor"/>
      </rPr>
      <t xml:space="preserve"> account management (provisioning) and authentication : password policy (complexity, length, renewal, history, blocking, reset...) , local or delegated authentication, security of credential storage if local, SAML support, strong authentication, captcha, rights review etc.</t>
    </r>
  </si>
  <si>
    <t>Individual account ?</t>
  </si>
  <si>
    <t>Data Privacy compliance</t>
  </si>
  <si>
    <t>Implement a secure method of data transfer (SFTP, GCP Bucket, OneDrive)</t>
  </si>
  <si>
    <t>Verify the compliance of the provider with our Data Privacy requirements, including the location of data centers in Europe.</t>
  </si>
  <si>
    <t>Digital</t>
  </si>
  <si>
    <t>HQ</t>
  </si>
  <si>
    <t>External - Cloud SaaS</t>
  </si>
  <si>
    <t>Livstick</t>
  </si>
  <si>
    <t>Figital</t>
  </si>
  <si>
    <t>Local market</t>
  </si>
  <si>
    <t>Jérome OUGIER LABERGERE</t>
  </si>
  <si>
    <t>Margaux NOBRE</t>
  </si>
  <si>
    <t>imane MILOUD</t>
  </si>
  <si>
    <t>Paul BLAISE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</si>
</sst>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6">
    <font>
      <sz val="11"/>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sz val="11"/>
      <color theme="1" tint="0.34998626667073579"/>
      <name val="Calibri"/>
      <family val="2"/>
      <scheme val="minor"/>
    </font>
    <font>
      <sz val="12"/>
      <name val="Calibri"/>
      <family val="2"/>
      <scheme val="minor"/>
    </font>
    <font>
      <sz val="9"/>
      <color indexed="81"/>
      <name val="Tahoma"/>
      <family val="2"/>
    </font>
    <font>
      <b/>
      <sz val="9"/>
      <color indexed="81"/>
      <name val="Tahoma"/>
      <family val="2"/>
    </font>
    <font>
      <b/>
      <sz val="10"/>
      <color theme="0"/>
      <name val="Calibri"/>
      <family val="2"/>
      <scheme val="minor"/>
    </font>
    <font>
      <sz val="12"/>
      <color theme="0"/>
      <name val="Calibri"/>
      <family val="2"/>
      <scheme val="minor"/>
    </font>
    <font>
      <sz val="10"/>
      <color theme="0"/>
      <name val="72 Light"/>
      <family val="2"/>
    </font>
    <font>
      <sz val="11"/>
      <name val="Calibri"/>
      <family val="2"/>
      <scheme val="minor"/>
    </font>
    <font>
      <sz val="14"/>
      <color theme="1"/>
      <name val="72 Light"/>
      <family val="2"/>
    </font>
    <font>
      <sz val="14"/>
      <color theme="0"/>
      <name val="72 Light"/>
      <family val="2"/>
    </font>
    <font>
      <sz val="14"/>
      <name val="72 Light"/>
      <family val="2"/>
    </font>
    <font>
      <b/>
      <sz val="12"/>
      <color theme="0"/>
      <name val="72 Light"/>
    </font>
    <font>
      <b/>
      <sz val="18"/>
      <color theme="0"/>
      <name val="Century Gothic"/>
      <family val="2"/>
    </font>
    <font>
      <sz val="10"/>
      <color theme="1"/>
      <name val="Calibri"/>
      <family val="2"/>
      <scheme val="minor"/>
    </font>
    <font>
      <b/>
      <sz val="10"/>
      <color theme="1"/>
      <name val="Calibri"/>
      <family val="2"/>
    </font>
    <font>
      <sz val="8"/>
      <name val="Calibri"/>
      <family val="2"/>
      <scheme val="minor"/>
    </font>
    <font>
      <sz val="11"/>
      <color theme="0"/>
      <name val="72 Light"/>
    </font>
    <font>
      <sz val="12"/>
      <color theme="0"/>
      <name val="72 Light"/>
    </font>
    <font>
      <sz val="11"/>
      <name val="72 Light"/>
    </font>
    <font>
      <sz val="12"/>
      <name val="72 Light"/>
    </font>
    <font>
      <sz val="11"/>
      <color theme="1" tint="0.34998626667073579"/>
      <name val="72 Light"/>
    </font>
    <font>
      <b/>
      <sz val="10"/>
      <color theme="0"/>
      <name val="72 Light"/>
    </font>
    <font>
      <sz val="11"/>
      <color theme="1"/>
      <name val="72 Light"/>
    </font>
    <font>
      <b/>
      <sz val="10"/>
      <color theme="1"/>
      <name val="72 Light"/>
    </font>
    <font>
      <sz val="11"/>
      <color theme="0"/>
      <name val="Calibri"/>
      <family val="2"/>
    </font>
    <font>
      <b/>
      <sz val="11"/>
      <color theme="1"/>
      <name val="Calibri"/>
      <family val="2"/>
      <scheme val="minor"/>
    </font>
    <font>
      <b/>
      <sz val="14"/>
      <color theme="0"/>
      <name val="Calibri"/>
      <family val="2"/>
      <scheme val="minor"/>
    </font>
    <font>
      <b/>
      <sz val="14"/>
      <name val="Calibri"/>
      <family val="2"/>
      <scheme val="minor"/>
    </font>
    <font>
      <b/>
      <sz val="11"/>
      <name val="Calibri"/>
      <family val="2"/>
      <scheme val="minor"/>
    </font>
    <font>
      <b/>
      <sz val="12"/>
      <name val="Calibri"/>
      <family val="2"/>
      <scheme val="minor"/>
    </font>
    <font>
      <b/>
      <i/>
      <sz val="12"/>
      <color theme="0"/>
      <name val="Calibri"/>
      <family val="2"/>
      <scheme val="minor"/>
    </font>
    <font>
      <b/>
      <i/>
      <u/>
      <sz val="12"/>
      <color theme="0"/>
      <name val="Calibri"/>
      <family val="2"/>
      <scheme val="minor"/>
    </font>
    <font>
      <b/>
      <u/>
      <sz val="12"/>
      <color theme="0"/>
      <name val="Calibri"/>
      <family val="2"/>
      <scheme val="minor"/>
    </font>
    <font>
      <sz val="14"/>
      <color theme="0"/>
      <name val="Calibri"/>
      <family val="2"/>
      <scheme val="minor"/>
    </font>
    <font>
      <sz val="14"/>
      <color theme="1"/>
      <name val="Calibri"/>
      <family val="2"/>
      <scheme val="minor"/>
    </font>
    <font>
      <b/>
      <sz val="18"/>
      <color theme="0"/>
      <name val="Calibri"/>
      <family val="2"/>
      <scheme val="minor"/>
    </font>
    <font>
      <b/>
      <sz val="10"/>
      <color theme="1"/>
      <name val="Calibri"/>
      <family val="2"/>
      <scheme val="minor"/>
    </font>
    <font>
      <b/>
      <u/>
      <sz val="11"/>
      <color theme="1"/>
      <name val="Calibri"/>
      <family val="2"/>
      <scheme val="minor"/>
    </font>
    <font>
      <u/>
      <sz val="11"/>
      <color theme="1"/>
      <name val="Calibri"/>
      <family val="2"/>
      <scheme val="minor"/>
    </font>
    <font>
      <b/>
      <sz val="20"/>
      <color theme="0"/>
      <name val="Calibri"/>
      <family val="2"/>
      <scheme val="minor"/>
    </font>
    <font>
      <b/>
      <sz val="16"/>
      <color theme="0"/>
      <name val="Calibri"/>
      <family val="2"/>
      <scheme val="minor"/>
    </font>
    <font>
      <b/>
      <sz val="16"/>
      <color theme="1"/>
      <name val="Calibri"/>
      <family val="2"/>
      <scheme val="minor"/>
    </font>
    <font>
      <i/>
      <sz val="11"/>
      <color theme="0"/>
      <name val="Calibri"/>
      <family val="2"/>
      <scheme val="minor"/>
    </font>
    <font>
      <u/>
      <sz val="11"/>
      <color theme="0"/>
      <name val="Calibri"/>
      <family val="2"/>
      <scheme val="minor"/>
    </font>
    <font>
      <b/>
      <sz val="11"/>
      <color theme="1"/>
      <name val="Calibri"/>
      <family val="2"/>
    </font>
    <font>
      <b/>
      <sz val="16"/>
      <color theme="1"/>
      <name val="Calibri"/>
      <family val="2"/>
    </font>
    <font>
      <sz val="11"/>
      <color rgb="FF000000"/>
      <name val="Calibri"/>
      <family val="2"/>
      <scheme val="minor"/>
    </font>
    <font>
      <b/>
      <sz val="12"/>
      <color rgb="FF000000"/>
      <name val="Calibri"/>
      <family val="2"/>
      <scheme val="minor"/>
    </font>
    <font>
      <b/>
      <sz val="12"/>
      <color rgb="FFFFFFFF"/>
      <name val="Calibri"/>
      <family val="2"/>
      <scheme val="minor"/>
    </font>
    <font>
      <b/>
      <sz val="12"/>
      <color theme="1"/>
      <name val="Calibri"/>
      <family val="2"/>
      <scheme val="minor"/>
    </font>
    <font>
      <sz val="14"/>
      <name val="72 Light"/>
    </font>
    <font>
      <b/>
      <sz val="11"/>
      <color theme="1" tint="0.34998626667073579"/>
      <name val="Calibri"/>
      <family val="2"/>
      <scheme val="minor"/>
    </font>
    <font>
      <b/>
      <sz val="11"/>
      <name val="72 Light"/>
    </font>
    <font>
      <b/>
      <sz val="11"/>
      <color theme="1"/>
      <name val="72 Light"/>
    </font>
    <font>
      <b/>
      <i/>
      <sz val="10"/>
      <color theme="1"/>
      <name val="Calibri"/>
      <family val="2"/>
      <scheme val="minor"/>
    </font>
    <font>
      <b/>
      <i/>
      <u/>
      <sz val="10"/>
      <color theme="1"/>
      <name val="Calibri"/>
      <family val="2"/>
      <scheme val="minor"/>
    </font>
    <font>
      <b/>
      <u/>
      <sz val="10"/>
      <color theme="1"/>
      <name val="Calibri"/>
      <family val="2"/>
      <scheme val="minor"/>
    </font>
    <font>
      <b/>
      <sz val="18"/>
      <name val="Calibri"/>
      <family val="2"/>
      <scheme val="minor"/>
    </font>
    <font>
      <u/>
      <sz val="12"/>
      <color theme="0"/>
      <name val="Calibri"/>
      <family val="2"/>
      <scheme val="minor"/>
    </font>
    <font>
      <sz val="14"/>
      <name val="Calibri"/>
      <family val="2"/>
      <scheme val="minor"/>
    </font>
    <font>
      <sz val="14"/>
      <color theme="1"/>
      <name val="72 Light"/>
    </font>
    <font>
      <sz val="12"/>
      <color theme="1"/>
      <name val="Calibri"/>
      <family val="2"/>
      <scheme val="minor"/>
    </font>
    <font>
      <b/>
      <i/>
      <sz val="10"/>
      <color theme="0"/>
      <name val="Calibri"/>
      <family val="2"/>
      <scheme val="minor"/>
    </font>
    <font>
      <b/>
      <i/>
      <sz val="14"/>
      <color theme="0"/>
      <name val="Calibri"/>
      <family val="2"/>
      <scheme val="minor"/>
    </font>
    <font>
      <b/>
      <sz val="14"/>
      <color rgb="FFFF0000"/>
      <name val="Calibri"/>
      <family val="2"/>
      <scheme val="minor"/>
    </font>
    <font>
      <sz val="11"/>
      <color theme="1"/>
      <name val="Calibri"/>
      <family val="2"/>
    </font>
    <font>
      <b/>
      <sz val="14"/>
      <color rgb="FFFFFFFF"/>
      <name val="Calibri"/>
      <family val="2"/>
      <scheme val="minor"/>
    </font>
    <font>
      <i/>
      <sz val="14"/>
      <color rgb="FFFFFFFF"/>
      <name val="Calibri"/>
      <family val="2"/>
      <scheme val="minor"/>
    </font>
    <font>
      <b/>
      <sz val="14"/>
      <color rgb="FFFFFFFF"/>
      <name val="Calibri"/>
      <family val="2"/>
      <scheme val="minor"/>
    </font>
    <font>
      <sz val="11"/>
      <name val="Calibri"/>
      <family val="2"/>
    </font>
    <font>
      <b/>
      <sz val="28"/>
      <name val="Calibri"/>
      <family val="2"/>
      <scheme val="minor"/>
    </font>
    <font>
      <sz val="28"/>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C00000"/>
        <bgColor indexed="64"/>
      </patternFill>
    </fill>
    <fill>
      <patternFill patternType="solid">
        <fgColor rgb="FF000000"/>
        <bgColor indexed="64"/>
      </patternFill>
    </fill>
    <fill>
      <patternFill patternType="solid">
        <fgColor rgb="FFF2F2F2"/>
        <bgColor indexed="64"/>
      </patternFill>
    </fill>
    <fill>
      <patternFill patternType="solid">
        <fgColor rgb="FF00B050"/>
        <bgColor indexed="64"/>
      </patternFill>
    </fill>
    <fill>
      <patternFill patternType="solid">
        <fgColor theme="1"/>
        <bgColor rgb="FFFFE598"/>
      </patternFill>
    </fill>
    <fill>
      <patternFill patternType="solid">
        <fgColor rgb="FFC00000"/>
        <bgColor rgb="FFFFE598"/>
      </patternFill>
    </fill>
    <fill>
      <patternFill patternType="solid">
        <fgColor theme="0"/>
        <bgColor rgb="FFF2F2F2"/>
      </patternFill>
    </fill>
    <fill>
      <patternFill patternType="solid">
        <fgColor theme="0" tint="-0.34998626667073579"/>
        <bgColor indexed="64"/>
      </patternFill>
    </fill>
    <fill>
      <patternFill patternType="solid">
        <fgColor theme="4" tint="0.79998168889431442"/>
        <bgColor indexed="64"/>
      </patternFill>
    </fill>
    <fill>
      <patternFill patternType="solid">
        <fgColor theme="4"/>
        <bgColor rgb="FFFFE598"/>
      </patternFill>
    </fill>
    <fill>
      <patternFill patternType="solid">
        <fgColor theme="1" tint="0.249977111117893"/>
        <bgColor rgb="FFFFE598"/>
      </patternFill>
    </fill>
  </fills>
  <borders count="115">
    <border>
      <left/>
      <right/>
      <top/>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theme="0"/>
      </top>
      <bottom style="thin">
        <color indexed="64"/>
      </bottom>
      <diagonal/>
    </border>
    <border>
      <left style="thick">
        <color theme="0"/>
      </left>
      <right style="thick">
        <color theme="0"/>
      </right>
      <top style="thick">
        <color theme="0"/>
      </top>
      <bottom style="thick">
        <color theme="0"/>
      </bottom>
      <diagonal/>
    </border>
    <border>
      <left style="thick">
        <color theme="0"/>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style="thin">
        <color theme="0"/>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top style="thin">
        <color theme="0"/>
      </top>
      <bottom style="thin">
        <color theme="0"/>
      </bottom>
      <diagonal/>
    </border>
    <border>
      <left/>
      <right style="thick">
        <color theme="0"/>
      </right>
      <top style="thin">
        <color theme="0"/>
      </top>
      <bottom style="thin">
        <color theme="0"/>
      </bottom>
      <diagonal/>
    </border>
    <border>
      <left style="thick">
        <color theme="0"/>
      </left>
      <right/>
      <top style="thin">
        <color theme="0"/>
      </top>
      <bottom style="thick">
        <color theme="0"/>
      </bottom>
      <diagonal/>
    </border>
    <border>
      <left/>
      <right/>
      <top style="thin">
        <color theme="0"/>
      </top>
      <bottom style="thick">
        <color theme="0"/>
      </bottom>
      <diagonal/>
    </border>
    <border>
      <left/>
      <right style="thin">
        <color theme="0"/>
      </right>
      <top style="thin">
        <color theme="0"/>
      </top>
      <bottom style="thick">
        <color theme="0"/>
      </bottom>
      <diagonal/>
    </border>
    <border>
      <left style="thin">
        <color theme="0"/>
      </left>
      <right style="thin">
        <color theme="0"/>
      </right>
      <top style="thin">
        <color theme="0"/>
      </top>
      <bottom style="thick">
        <color theme="0"/>
      </bottom>
      <diagonal/>
    </border>
    <border>
      <left style="thin">
        <color theme="0"/>
      </left>
      <right/>
      <top style="thin">
        <color theme="0"/>
      </top>
      <bottom style="thick">
        <color theme="0"/>
      </bottom>
      <diagonal/>
    </border>
    <border>
      <left/>
      <right style="thick">
        <color theme="0"/>
      </right>
      <top style="thin">
        <color theme="0"/>
      </top>
      <bottom style="thick">
        <color theme="0"/>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ck">
        <color theme="0"/>
      </bottom>
      <diagonal/>
    </border>
    <border>
      <left style="thin">
        <color theme="0"/>
      </left>
      <right style="thick">
        <color theme="0"/>
      </right>
      <top style="thin">
        <color theme="0"/>
      </top>
      <bottom style="thick">
        <color theme="0"/>
      </bottom>
      <diagonal/>
    </border>
    <border>
      <left style="thick">
        <color theme="0"/>
      </left>
      <right style="thin">
        <color theme="0"/>
      </right>
      <top/>
      <bottom style="thin">
        <color theme="0"/>
      </bottom>
      <diagonal/>
    </border>
    <border>
      <left style="thick">
        <color theme="0"/>
      </left>
      <right style="thin">
        <color theme="0"/>
      </right>
      <top/>
      <bottom style="thick">
        <color theme="0"/>
      </bottom>
      <diagonal/>
    </border>
    <border>
      <left/>
      <right style="thin">
        <color theme="0"/>
      </right>
      <top/>
      <bottom style="thick">
        <color theme="0"/>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style="thin">
        <color indexed="64"/>
      </right>
      <top style="thin">
        <color theme="0"/>
      </top>
      <bottom style="thick">
        <color theme="0"/>
      </bottom>
      <diagonal/>
    </border>
    <border>
      <left style="thin">
        <color indexed="64"/>
      </left>
      <right style="thin">
        <color indexed="64"/>
      </right>
      <top style="thin">
        <color theme="0"/>
      </top>
      <bottom style="thick">
        <color theme="0"/>
      </bottom>
      <diagonal/>
    </border>
    <border>
      <left style="thin">
        <color indexed="64"/>
      </left>
      <right style="thick">
        <color theme="0"/>
      </right>
      <top style="thin">
        <color theme="0"/>
      </top>
      <bottom style="thick">
        <color theme="0"/>
      </bottom>
      <diagonal/>
    </border>
    <border>
      <left style="thick">
        <color theme="0"/>
      </left>
      <right style="thin">
        <color indexed="64"/>
      </right>
      <top style="thin">
        <color theme="0"/>
      </top>
      <bottom style="thin">
        <color indexed="64"/>
      </bottom>
      <diagonal/>
    </border>
    <border>
      <left style="thin">
        <color indexed="64"/>
      </left>
      <right style="thick">
        <color theme="0"/>
      </right>
      <top style="thin">
        <color theme="0"/>
      </top>
      <bottom style="thin">
        <color indexed="64"/>
      </bottom>
      <diagonal/>
    </border>
    <border>
      <left style="thick">
        <color theme="0"/>
      </left>
      <right style="thin">
        <color indexed="64"/>
      </right>
      <top style="thin">
        <color indexed="64"/>
      </top>
      <bottom style="thick">
        <color theme="0"/>
      </bottom>
      <diagonal/>
    </border>
    <border>
      <left style="thin">
        <color indexed="64"/>
      </left>
      <right style="thin">
        <color indexed="64"/>
      </right>
      <top style="thin">
        <color indexed="64"/>
      </top>
      <bottom style="thick">
        <color theme="0"/>
      </bottom>
      <diagonal/>
    </border>
    <border>
      <left style="thin">
        <color indexed="64"/>
      </left>
      <right style="thick">
        <color theme="0"/>
      </right>
      <top style="thin">
        <color indexed="64"/>
      </top>
      <bottom style="thick">
        <color theme="0"/>
      </bottom>
      <diagonal/>
    </border>
    <border>
      <left/>
      <right/>
      <top style="thin">
        <color theme="0"/>
      </top>
      <bottom/>
      <diagonal/>
    </border>
    <border>
      <left/>
      <right/>
      <top style="thin">
        <color indexed="64"/>
      </top>
      <bottom/>
      <diagonal/>
    </border>
    <border>
      <left/>
      <right style="thin">
        <color indexed="64"/>
      </right>
      <top style="thin">
        <color theme="0"/>
      </top>
      <bottom style="thin">
        <color theme="0"/>
      </bottom>
      <diagonal/>
    </border>
    <border>
      <left style="thin">
        <color indexed="64"/>
      </left>
      <right/>
      <top style="thin">
        <color theme="0"/>
      </top>
      <bottom style="thin">
        <color theme="0"/>
      </bottom>
      <diagonal/>
    </border>
    <border>
      <left/>
      <right/>
      <top/>
      <bottom style="thin">
        <color theme="0"/>
      </bottom>
      <diagonal/>
    </border>
    <border>
      <left style="thick">
        <color theme="0"/>
      </left>
      <right/>
      <top/>
      <bottom style="thin">
        <color theme="0"/>
      </bottom>
      <diagonal/>
    </border>
    <border>
      <left/>
      <right style="thick">
        <color theme="0"/>
      </right>
      <top/>
      <bottom style="thin">
        <color theme="0"/>
      </bottom>
      <diagonal/>
    </border>
    <border>
      <left/>
      <right style="thick">
        <color theme="0"/>
      </right>
      <top/>
      <bottom/>
      <diagonal/>
    </border>
    <border>
      <left/>
      <right/>
      <top/>
      <bottom style="thick">
        <color theme="0"/>
      </bottom>
      <diagonal/>
    </border>
    <border>
      <left/>
      <right style="thick">
        <color theme="0"/>
      </right>
      <top/>
      <bottom style="thick">
        <color theme="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theme="0"/>
      </left>
      <right/>
      <top/>
      <bottom/>
      <diagonal/>
    </border>
    <border>
      <left style="thick">
        <color theme="0"/>
      </left>
      <right/>
      <top/>
      <bottom style="thick">
        <color theme="0"/>
      </bottom>
      <diagonal/>
    </border>
    <border>
      <left style="thin">
        <color theme="0"/>
      </left>
      <right style="thin">
        <color theme="0"/>
      </right>
      <top style="thin">
        <color theme="0"/>
      </top>
      <bottom/>
      <diagonal/>
    </border>
    <border>
      <left/>
      <right style="thin">
        <color theme="0"/>
      </right>
      <top/>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style="thick">
        <color theme="0"/>
      </right>
      <top/>
      <bottom/>
      <diagonal/>
    </border>
    <border>
      <left style="thick">
        <color theme="0"/>
      </left>
      <right style="thick">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style="thick">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theme="0"/>
      </left>
      <right style="thin">
        <color theme="0"/>
      </right>
      <top style="thin">
        <color theme="0"/>
      </top>
      <bottom/>
      <diagonal/>
    </border>
    <border>
      <left/>
      <right style="thin">
        <color indexed="64"/>
      </right>
      <top style="thin">
        <color theme="0"/>
      </top>
      <bottom style="thick">
        <color theme="0"/>
      </bottom>
      <diagonal/>
    </border>
    <border>
      <left style="thin">
        <color indexed="64"/>
      </left>
      <right/>
      <top style="thin">
        <color theme="0"/>
      </top>
      <bottom style="thick">
        <color theme="0"/>
      </bottom>
      <diagonal/>
    </border>
    <border>
      <left style="thick">
        <color theme="0"/>
      </left>
      <right style="thin">
        <color theme="0"/>
      </right>
      <top/>
      <bottom/>
      <diagonal/>
    </border>
    <border>
      <left style="thin">
        <color auto="1"/>
      </left>
      <right style="thin">
        <color theme="0"/>
      </right>
      <top style="thin">
        <color indexed="64"/>
      </top>
      <bottom style="thin">
        <color theme="0"/>
      </bottom>
      <diagonal/>
    </border>
    <border>
      <left style="thin">
        <color indexed="64"/>
      </left>
      <right/>
      <top style="thin">
        <color indexed="64"/>
      </top>
      <bottom style="thin">
        <color theme="0"/>
      </bottom>
      <diagonal/>
    </border>
    <border>
      <left/>
      <right/>
      <top style="thin">
        <color indexed="64"/>
      </top>
      <bottom style="thin">
        <color theme="0"/>
      </bottom>
      <diagonal/>
    </border>
    <border>
      <left style="thin">
        <color auto="1"/>
      </left>
      <right style="thin">
        <color theme="0"/>
      </right>
      <top style="thin">
        <color theme="0"/>
      </top>
      <bottom/>
      <diagonal/>
    </border>
    <border>
      <left style="thin">
        <color auto="1"/>
      </left>
      <right style="thin">
        <color theme="0"/>
      </right>
      <top/>
      <bottom/>
      <diagonal/>
    </border>
    <border>
      <left style="thin">
        <color auto="1"/>
      </left>
      <right style="thin">
        <color theme="0"/>
      </right>
      <top/>
      <bottom style="thin">
        <color theme="0"/>
      </bottom>
      <diagonal/>
    </border>
    <border>
      <left style="thin">
        <color auto="1"/>
      </left>
      <right style="thin">
        <color theme="0"/>
      </right>
      <top style="thin">
        <color theme="0"/>
      </top>
      <bottom style="thin">
        <color indexed="64"/>
      </bottom>
      <diagonal/>
    </border>
    <border>
      <left style="thin">
        <color auto="1"/>
      </left>
      <right style="thin">
        <color theme="0"/>
      </right>
      <top style="thin">
        <color indexed="64"/>
      </top>
      <bottom style="thin">
        <color indexed="64"/>
      </bottom>
      <diagonal/>
    </border>
    <border>
      <left/>
      <right style="thin">
        <color theme="0"/>
      </right>
      <top style="thin">
        <color indexed="64"/>
      </top>
      <bottom style="thin">
        <color theme="0"/>
      </bottom>
      <diagonal/>
    </border>
    <border>
      <left style="thin">
        <color indexed="64"/>
      </left>
      <right style="thin">
        <color theme="1"/>
      </right>
      <top style="thin">
        <color theme="0"/>
      </top>
      <bottom style="thin">
        <color indexed="64"/>
      </bottom>
      <diagonal/>
    </border>
    <border>
      <left style="thin">
        <color indexed="64"/>
      </left>
      <right style="thin">
        <color theme="1"/>
      </right>
      <top style="thin">
        <color indexed="64"/>
      </top>
      <bottom style="thin">
        <color indexed="64"/>
      </bottom>
      <diagonal/>
    </border>
    <border>
      <left/>
      <right style="thick">
        <color theme="0"/>
      </right>
      <top style="thin">
        <color theme="0"/>
      </top>
      <bottom/>
      <diagonal/>
    </border>
    <border>
      <left style="thin">
        <color theme="0"/>
      </left>
      <right/>
      <top style="thick">
        <color theme="0"/>
      </top>
      <bottom style="thin">
        <color theme="0"/>
      </bottom>
      <diagonal/>
    </border>
    <border>
      <left/>
      <right style="thin">
        <color theme="0"/>
      </right>
      <top style="thick">
        <color theme="0"/>
      </top>
      <bottom style="thin">
        <color theme="0"/>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right style="medium">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right style="medium">
        <color theme="0"/>
      </right>
      <top/>
      <bottom/>
      <diagonal/>
    </border>
    <border>
      <left style="medium">
        <color theme="0"/>
      </left>
      <right/>
      <top style="thin">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ck">
        <color theme="0"/>
      </right>
      <top style="thin">
        <color theme="0"/>
      </top>
      <bottom/>
      <diagonal/>
    </border>
    <border>
      <left style="thin">
        <color theme="0"/>
      </left>
      <right style="thin">
        <color theme="0"/>
      </right>
      <top style="thin">
        <color theme="0"/>
      </top>
      <bottom style="medium">
        <color theme="0"/>
      </bottom>
      <diagonal/>
    </border>
    <border>
      <left style="thin">
        <color theme="0"/>
      </left>
      <right/>
      <top style="thin">
        <color theme="0"/>
      </top>
      <bottom style="medium">
        <color theme="0"/>
      </bottom>
      <diagonal/>
    </border>
    <border>
      <left/>
      <right style="thin">
        <color theme="0"/>
      </right>
      <top style="thin">
        <color theme="0"/>
      </top>
      <bottom style="medium">
        <color theme="0"/>
      </bottom>
      <diagonal/>
    </border>
    <border>
      <left style="thin">
        <color theme="0"/>
      </left>
      <right style="thick">
        <color theme="0"/>
      </right>
      <top style="thin">
        <color theme="0"/>
      </top>
      <bottom style="medium">
        <color theme="0"/>
      </bottom>
      <diagonal/>
    </border>
    <border>
      <left style="thin">
        <color theme="0"/>
      </left>
      <right/>
      <top/>
      <bottom style="medium">
        <color theme="0"/>
      </bottom>
      <diagonal/>
    </border>
    <border>
      <left/>
      <right/>
      <top/>
      <bottom style="medium">
        <color theme="0"/>
      </bottom>
      <diagonal/>
    </border>
    <border>
      <left style="thin">
        <color theme="0"/>
      </left>
      <right style="thin">
        <color theme="0"/>
      </right>
      <top/>
      <bottom style="medium">
        <color theme="0"/>
      </bottom>
      <diagonal/>
    </border>
    <border>
      <left/>
      <right style="thin">
        <color theme="0"/>
      </right>
      <top/>
      <bottom style="medium">
        <color theme="0"/>
      </bottom>
      <diagonal/>
    </border>
    <border>
      <left style="medium">
        <color theme="0"/>
      </left>
      <right style="thick">
        <color theme="0"/>
      </right>
      <top style="medium">
        <color theme="0"/>
      </top>
      <bottom style="medium">
        <color theme="0"/>
      </bottom>
      <diagonal/>
    </border>
    <border>
      <left style="medium">
        <color theme="0"/>
      </left>
      <right style="thick">
        <color theme="0"/>
      </right>
      <top/>
      <bottom style="thin">
        <color theme="0"/>
      </bottom>
      <diagonal/>
    </border>
    <border>
      <left style="medium">
        <color theme="0"/>
      </left>
      <right style="thick">
        <color theme="0"/>
      </right>
      <top style="thin">
        <color theme="0"/>
      </top>
      <bottom style="thin">
        <color theme="0"/>
      </bottom>
      <diagonal/>
    </border>
    <border>
      <left style="medium">
        <color theme="0"/>
      </left>
      <right style="thick">
        <color theme="0"/>
      </right>
      <top style="thin">
        <color theme="0"/>
      </top>
      <bottom style="medium">
        <color theme="0"/>
      </bottom>
      <diagonal/>
    </border>
    <border>
      <left style="thick">
        <color theme="0"/>
      </left>
      <right style="thin">
        <color theme="0"/>
      </right>
      <top/>
      <bottom style="medium">
        <color theme="0"/>
      </bottom>
      <diagonal/>
    </border>
  </borders>
  <cellStyleXfs count="1">
    <xf numFmtId="0" fontId="0" fillId="0" borderId="0"/>
  </cellStyleXfs>
  <cellXfs count="499">
    <xf numFmtId="0" fontId="0" fillId="0" borderId="0" xfId="0"/>
    <xf numFmtId="0" fontId="0" fillId="3" borderId="0" xfId="0" applyFill="1"/>
    <xf numFmtId="0" fontId="4" fillId="0" borderId="5" xfId="0" applyFont="1" applyBorder="1" applyAlignment="1">
      <alignment horizontal="center" vertical="center" wrapText="1"/>
    </xf>
    <xf numFmtId="0" fontId="4"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3" borderId="0" xfId="0" applyFont="1" applyFill="1" applyAlignment="1">
      <alignment horizontal="center" vertical="center" wrapText="1"/>
    </xf>
    <xf numFmtId="0" fontId="4" fillId="2" borderId="4" xfId="0" applyFont="1" applyFill="1" applyBorder="1" applyAlignment="1">
      <alignment horizontal="center" vertical="center" wrapText="1"/>
    </xf>
    <xf numFmtId="0" fontId="0" fillId="3" borderId="41" xfId="0" applyFill="1" applyBorder="1"/>
    <xf numFmtId="0" fontId="0" fillId="2" borderId="0" xfId="0" applyFill="1" applyAlignment="1">
      <alignment horizontal="left" wrapText="1"/>
    </xf>
    <xf numFmtId="0" fontId="0" fillId="6" borderId="0" xfId="0" applyFill="1" applyAlignment="1">
      <alignment vertical="center" wrapText="1"/>
    </xf>
    <xf numFmtId="0" fontId="12" fillId="3" borderId="0" xfId="0" applyFont="1" applyFill="1" applyAlignment="1">
      <alignment horizontal="left" wrapText="1"/>
    </xf>
    <xf numFmtId="0" fontId="12" fillId="3" borderId="0" xfId="0" applyFont="1" applyFill="1" applyAlignment="1">
      <alignment horizontal="center" wrapText="1"/>
    </xf>
    <xf numFmtId="0" fontId="13" fillId="3" borderId="0" xfId="0" applyFont="1" applyFill="1" applyAlignment="1">
      <alignment wrapText="1"/>
    </xf>
    <xf numFmtId="0" fontId="12" fillId="3" borderId="0" xfId="0" applyFont="1" applyFill="1" applyAlignment="1">
      <alignment horizontal="center"/>
    </xf>
    <xf numFmtId="0" fontId="12" fillId="3" borderId="0" xfId="0" applyFont="1" applyFill="1"/>
    <xf numFmtId="0" fontId="12" fillId="3" borderId="0" xfId="0" applyFont="1" applyFill="1" applyAlignment="1">
      <alignment horizontal="center" vertical="center"/>
    </xf>
    <xf numFmtId="0" fontId="14" fillId="3" borderId="42" xfId="0" applyFont="1" applyFill="1" applyBorder="1" applyAlignment="1">
      <alignment vertical="center"/>
    </xf>
    <xf numFmtId="0" fontId="5" fillId="3" borderId="0" xfId="0" applyFont="1" applyFill="1" applyAlignment="1">
      <alignment horizontal="center" vertical="center"/>
    </xf>
    <xf numFmtId="0" fontId="15" fillId="3" borderId="0" xfId="0" applyFont="1" applyFill="1" applyAlignment="1">
      <alignment vertical="center" wrapText="1"/>
    </xf>
    <xf numFmtId="0" fontId="0" fillId="0" borderId="52" xfId="0" applyBorder="1"/>
    <xf numFmtId="0" fontId="4" fillId="2" borderId="6" xfId="0" applyFont="1" applyFill="1" applyBorder="1" applyAlignment="1">
      <alignment horizontal="center" vertical="center" wrapText="1"/>
    </xf>
    <xf numFmtId="0" fontId="18" fillId="0" borderId="53" xfId="0" applyFont="1" applyBorder="1" applyAlignment="1">
      <alignment horizontal="center" vertical="center"/>
    </xf>
    <xf numFmtId="0" fontId="0" fillId="3" borderId="0" xfId="0" applyFill="1" applyAlignment="1">
      <alignment wrapText="1"/>
    </xf>
    <xf numFmtId="0" fontId="0" fillId="0" borderId="0" xfId="0" applyAlignment="1">
      <alignment wrapText="1"/>
    </xf>
    <xf numFmtId="0" fontId="15" fillId="3" borderId="0" xfId="0" applyFont="1" applyFill="1" applyAlignment="1">
      <alignment horizontal="center" vertical="center" wrapText="1"/>
    </xf>
    <xf numFmtId="0" fontId="24" fillId="3" borderId="0" xfId="0" applyFont="1" applyFill="1" applyAlignment="1">
      <alignment horizontal="center" vertical="center" wrapText="1"/>
    </xf>
    <xf numFmtId="0" fontId="26" fillId="0" borderId="0" xfId="0" applyFont="1"/>
    <xf numFmtId="0" fontId="0" fillId="0" borderId="53" xfId="0" applyBorder="1"/>
    <xf numFmtId="0" fontId="0" fillId="3" borderId="0" xfId="0" applyFill="1" applyAlignment="1">
      <alignment vertical="center"/>
    </xf>
    <xf numFmtId="0" fontId="1" fillId="3" borderId="0" xfId="0" applyFont="1" applyFill="1" applyAlignment="1">
      <alignment vertical="center"/>
    </xf>
    <xf numFmtId="0" fontId="4" fillId="2" borderId="55" xfId="0" applyFont="1" applyFill="1" applyBorder="1" applyAlignment="1">
      <alignment horizontal="center" vertical="center" wrapText="1"/>
    </xf>
    <xf numFmtId="0" fontId="0" fillId="3" borderId="52" xfId="0" applyFill="1" applyBorder="1"/>
    <xf numFmtId="0" fontId="25" fillId="3" borderId="74" xfId="0" applyFont="1" applyFill="1" applyBorder="1" applyAlignment="1">
      <alignment horizontal="center" vertical="center" wrapText="1"/>
    </xf>
    <xf numFmtId="0" fontId="23" fillId="3" borderId="0" xfId="0" applyFont="1" applyFill="1" applyAlignment="1">
      <alignment horizontal="center" vertical="center" wrapText="1"/>
    </xf>
    <xf numFmtId="0" fontId="27" fillId="3" borderId="0" xfId="0" applyFont="1" applyFill="1" applyAlignment="1">
      <alignment horizontal="center" vertical="center"/>
    </xf>
    <xf numFmtId="0" fontId="20" fillId="3" borderId="0" xfId="0" applyFont="1" applyFill="1" applyAlignment="1">
      <alignment vertical="center" wrapText="1"/>
    </xf>
    <xf numFmtId="0" fontId="28" fillId="3" borderId="5" xfId="0" applyFont="1" applyFill="1" applyBorder="1" applyAlignment="1">
      <alignment vertical="center" wrapText="1"/>
    </xf>
    <xf numFmtId="0" fontId="28" fillId="3" borderId="19" xfId="0" applyFont="1" applyFill="1" applyBorder="1" applyAlignment="1">
      <alignment vertical="center" wrapText="1"/>
    </xf>
    <xf numFmtId="0" fontId="0" fillId="0" borderId="0" xfId="0" applyAlignment="1">
      <alignment vertical="center"/>
    </xf>
    <xf numFmtId="0" fontId="3" fillId="3" borderId="12" xfId="0" applyFont="1" applyFill="1" applyBorder="1" applyAlignment="1">
      <alignment horizontal="center" vertical="center" wrapText="1"/>
    </xf>
    <xf numFmtId="0" fontId="33" fillId="6" borderId="13" xfId="0" applyFont="1" applyFill="1" applyBorder="1" applyAlignment="1">
      <alignment horizontal="left" vertical="center" wrapText="1"/>
    </xf>
    <xf numFmtId="14" fontId="33" fillId="6" borderId="13" xfId="0" applyNumberFormat="1" applyFont="1" applyFill="1" applyBorder="1" applyAlignment="1">
      <alignment horizontal="left" vertical="center" wrapText="1"/>
    </xf>
    <xf numFmtId="0" fontId="3" fillId="3" borderId="1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9" fillId="3" borderId="12" xfId="0" applyFont="1" applyFill="1" applyBorder="1" applyAlignment="1">
      <alignment horizontal="left" vertical="center" wrapText="1"/>
    </xf>
    <xf numFmtId="0" fontId="33" fillId="4" borderId="25"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21" fillId="3" borderId="19" xfId="0" applyFont="1" applyFill="1" applyBorder="1" applyAlignment="1">
      <alignment horizontal="center" vertical="center" wrapText="1"/>
    </xf>
    <xf numFmtId="0" fontId="38" fillId="3" borderId="0" xfId="0" applyFont="1" applyFill="1"/>
    <xf numFmtId="0" fontId="38" fillId="3" borderId="49" xfId="0" applyFont="1" applyFill="1" applyBorder="1"/>
    <xf numFmtId="0" fontId="30" fillId="3" borderId="46" xfId="0" applyFont="1" applyFill="1" applyBorder="1" applyAlignment="1">
      <alignment vertical="center"/>
    </xf>
    <xf numFmtId="0" fontId="30" fillId="3" borderId="14" xfId="0" applyFont="1" applyFill="1" applyBorder="1" applyAlignment="1">
      <alignment vertical="center" wrapText="1"/>
    </xf>
    <xf numFmtId="0" fontId="30" fillId="3" borderId="16" xfId="0" applyFont="1" applyFill="1" applyBorder="1" applyAlignment="1">
      <alignment vertical="center"/>
    </xf>
    <xf numFmtId="0" fontId="1" fillId="3" borderId="6"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1" fillId="3" borderId="77" xfId="0" applyFont="1" applyFill="1" applyBorder="1" applyAlignment="1">
      <alignment horizontal="center" vertical="center" wrapText="1"/>
    </xf>
    <xf numFmtId="0" fontId="1" fillId="3" borderId="78" xfId="0" applyFont="1" applyFill="1" applyBorder="1" applyAlignment="1">
      <alignment horizontal="center" vertical="center" wrapText="1"/>
    </xf>
    <xf numFmtId="0" fontId="1" fillId="3" borderId="79" xfId="0" applyFont="1" applyFill="1" applyBorder="1" applyAlignment="1">
      <alignment horizontal="center" vertical="center" wrapText="1"/>
    </xf>
    <xf numFmtId="0" fontId="1" fillId="3" borderId="80" xfId="0" applyFont="1" applyFill="1" applyBorder="1" applyAlignment="1">
      <alignment horizontal="center" vertical="center" wrapText="1"/>
    </xf>
    <xf numFmtId="0" fontId="1" fillId="3" borderId="81" xfId="0" applyFont="1" applyFill="1" applyBorder="1" applyAlignment="1">
      <alignment horizontal="center" vertical="center" wrapText="1"/>
    </xf>
    <xf numFmtId="0" fontId="1" fillId="3" borderId="74" xfId="0" applyFont="1" applyFill="1" applyBorder="1" applyAlignment="1">
      <alignment horizontal="center" vertical="center" wrapText="1"/>
    </xf>
    <xf numFmtId="0" fontId="1" fillId="3" borderId="67" xfId="0" applyFont="1" applyFill="1" applyBorder="1" applyAlignment="1">
      <alignment horizontal="center" vertical="center" wrapText="1"/>
    </xf>
    <xf numFmtId="0" fontId="29" fillId="6" borderId="69" xfId="0" applyFont="1" applyFill="1" applyBorder="1" applyAlignment="1">
      <alignment horizontal="center" vertical="center" wrapText="1"/>
    </xf>
    <xf numFmtId="0" fontId="0" fillId="6" borderId="68" xfId="0" applyFill="1" applyBorder="1" applyAlignment="1">
      <alignment horizontal="center" vertical="center" wrapText="1"/>
    </xf>
    <xf numFmtId="0" fontId="0" fillId="6" borderId="68" xfId="0" applyFill="1" applyBorder="1" applyAlignment="1">
      <alignment horizontal="left" vertical="center" wrapText="1"/>
    </xf>
    <xf numFmtId="0" fontId="29" fillId="6" borderId="68" xfId="0" applyFont="1" applyFill="1" applyBorder="1" applyAlignment="1">
      <alignment horizontal="center" vertical="center"/>
    </xf>
    <xf numFmtId="0" fontId="29" fillId="6" borderId="51" xfId="0" applyFont="1" applyFill="1" applyBorder="1" applyAlignment="1">
      <alignment horizontal="center" vertical="center" wrapText="1"/>
    </xf>
    <xf numFmtId="0" fontId="0" fillId="6" borderId="52" xfId="0" applyFill="1" applyBorder="1" applyAlignment="1">
      <alignment horizontal="center" vertical="center" wrapText="1"/>
    </xf>
    <xf numFmtId="0" fontId="0" fillId="6" borderId="52" xfId="0" applyFill="1" applyBorder="1" applyAlignment="1">
      <alignment horizontal="left" vertical="center" wrapText="1"/>
    </xf>
    <xf numFmtId="0" fontId="29" fillId="0" borderId="52" xfId="0" applyFont="1" applyBorder="1" applyAlignment="1" applyProtection="1">
      <alignment horizontal="center" vertical="center"/>
      <protection locked="0"/>
    </xf>
    <xf numFmtId="0" fontId="29" fillId="6" borderId="52" xfId="0" applyFont="1" applyFill="1" applyBorder="1" applyAlignment="1">
      <alignment horizontal="center" vertical="center"/>
    </xf>
    <xf numFmtId="0" fontId="39" fillId="3" borderId="82" xfId="0" applyFont="1" applyFill="1" applyBorder="1" applyAlignment="1">
      <alignment vertical="center" wrapText="1"/>
    </xf>
    <xf numFmtId="0" fontId="45" fillId="0" borderId="53" xfId="0" applyFont="1" applyBorder="1" applyAlignment="1">
      <alignment horizontal="center" vertical="center"/>
    </xf>
    <xf numFmtId="0" fontId="2" fillId="3" borderId="5" xfId="0" applyFont="1" applyFill="1" applyBorder="1" applyAlignment="1">
      <alignment vertical="center" wrapText="1"/>
    </xf>
    <xf numFmtId="0" fontId="29" fillId="0" borderId="53" xfId="0" applyFont="1" applyBorder="1" applyAlignment="1">
      <alignment horizontal="center" vertical="center"/>
    </xf>
    <xf numFmtId="0" fontId="11" fillId="6" borderId="1" xfId="0" applyFont="1" applyFill="1" applyBorder="1" applyAlignment="1">
      <alignment horizontal="center" vertical="center" wrapText="1"/>
    </xf>
    <xf numFmtId="0" fontId="2" fillId="3" borderId="19" xfId="0" applyFont="1" applyFill="1" applyBorder="1" applyAlignment="1">
      <alignment vertical="center" wrapText="1"/>
    </xf>
    <xf numFmtId="0" fontId="29" fillId="0" borderId="54" xfId="0" applyFont="1" applyBorder="1" applyAlignment="1">
      <alignment horizontal="center" vertical="center"/>
    </xf>
    <xf numFmtId="0" fontId="11" fillId="6" borderId="29" xfId="0" applyFont="1" applyFill="1" applyBorder="1" applyAlignment="1">
      <alignment horizontal="center" vertical="center" wrapText="1"/>
    </xf>
    <xf numFmtId="0" fontId="29" fillId="0" borderId="53" xfId="0" applyFont="1" applyBorder="1" applyAlignment="1">
      <alignment horizontal="center" vertical="center" wrapText="1"/>
    </xf>
    <xf numFmtId="0" fontId="29" fillId="0" borderId="54" xfId="0" applyFont="1" applyBorder="1" applyAlignment="1">
      <alignment horizontal="center" vertical="center" wrapText="1"/>
    </xf>
    <xf numFmtId="0" fontId="11" fillId="6" borderId="45" xfId="0" applyFont="1" applyFill="1" applyBorder="1" applyAlignment="1">
      <alignment horizontal="center" vertical="center" wrapText="1"/>
    </xf>
    <xf numFmtId="0" fontId="48" fillId="0" borderId="53" xfId="0" applyFont="1" applyBorder="1" applyAlignment="1">
      <alignment horizontal="center" vertical="center"/>
    </xf>
    <xf numFmtId="0" fontId="48" fillId="0" borderId="54" xfId="0" applyFont="1" applyBorder="1" applyAlignment="1">
      <alignment horizontal="center" vertical="center"/>
    </xf>
    <xf numFmtId="0" fontId="48" fillId="0" borderId="53" xfId="0" applyFont="1" applyBorder="1" applyAlignment="1">
      <alignment horizontal="center" vertical="center" wrapText="1"/>
    </xf>
    <xf numFmtId="0" fontId="48" fillId="0" borderId="54" xfId="0" applyFont="1" applyBorder="1" applyAlignment="1">
      <alignment horizontal="center" vertical="center" wrapText="1"/>
    </xf>
    <xf numFmtId="0" fontId="22" fillId="6" borderId="1" xfId="0" applyFont="1" applyFill="1" applyBorder="1" applyAlignment="1">
      <alignment horizontal="center" vertical="center" wrapText="1"/>
    </xf>
    <xf numFmtId="0" fontId="22" fillId="6" borderId="29" xfId="0" applyFont="1" applyFill="1" applyBorder="1" applyAlignment="1">
      <alignment horizontal="center" vertical="center" wrapText="1"/>
    </xf>
    <xf numFmtId="0" fontId="49" fillId="0" borderId="53" xfId="0" applyFont="1" applyBorder="1" applyAlignment="1">
      <alignment horizontal="center" vertical="center"/>
    </xf>
    <xf numFmtId="0" fontId="4" fillId="2"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0" fillId="6" borderId="0" xfId="0" applyFill="1" applyAlignment="1">
      <alignment vertical="center"/>
    </xf>
    <xf numFmtId="0" fontId="50" fillId="12" borderId="0" xfId="0" applyFont="1" applyFill="1" applyAlignment="1">
      <alignment horizontal="left" vertical="center" wrapText="1" readingOrder="1"/>
    </xf>
    <xf numFmtId="0" fontId="51" fillId="10" borderId="0" xfId="0" applyFont="1" applyFill="1" applyAlignment="1">
      <alignment horizontal="center" vertical="center" wrapText="1" readingOrder="1"/>
    </xf>
    <xf numFmtId="0" fontId="51" fillId="5" borderId="0" xfId="0" applyFont="1" applyFill="1" applyAlignment="1">
      <alignment horizontal="center" vertical="center" wrapText="1" readingOrder="1"/>
    </xf>
    <xf numFmtId="0" fontId="51" fillId="7" borderId="0" xfId="0" applyFont="1" applyFill="1" applyAlignment="1">
      <alignment horizontal="center" vertical="center" wrapText="1" readingOrder="1"/>
    </xf>
    <xf numFmtId="0" fontId="51" fillId="8" borderId="0" xfId="0" applyFont="1" applyFill="1" applyAlignment="1">
      <alignment horizontal="center" vertical="center" wrapText="1" readingOrder="1"/>
    </xf>
    <xf numFmtId="0" fontId="51" fillId="9" borderId="0" xfId="0" applyFont="1" applyFill="1" applyAlignment="1">
      <alignment horizontal="center" vertical="center" wrapText="1" readingOrder="1"/>
    </xf>
    <xf numFmtId="0" fontId="53" fillId="4" borderId="0" xfId="0" applyFont="1" applyFill="1" applyAlignment="1">
      <alignment horizontal="center" vertical="center" wrapText="1"/>
    </xf>
    <xf numFmtId="0" fontId="53" fillId="8" borderId="0" xfId="0" applyFont="1" applyFill="1" applyAlignment="1">
      <alignment horizontal="center" vertical="center" wrapText="1"/>
    </xf>
    <xf numFmtId="0" fontId="53" fillId="5" borderId="0" xfId="0" applyFont="1" applyFill="1" applyAlignment="1">
      <alignment horizontal="left" vertical="center" wrapText="1"/>
    </xf>
    <xf numFmtId="0" fontId="53" fillId="7" borderId="0" xfId="0" applyFont="1" applyFill="1" applyAlignment="1">
      <alignment horizontal="left" vertical="center" wrapText="1"/>
    </xf>
    <xf numFmtId="0" fontId="53" fillId="8" borderId="0" xfId="0" applyFont="1" applyFill="1" applyAlignment="1">
      <alignment horizontal="left" vertical="center" wrapText="1"/>
    </xf>
    <xf numFmtId="0" fontId="53" fillId="9" borderId="0" xfId="0" applyFont="1" applyFill="1" applyAlignment="1">
      <alignment horizontal="left" vertical="center" wrapText="1"/>
    </xf>
    <xf numFmtId="0" fontId="53" fillId="5" borderId="0" xfId="0" applyFont="1" applyFill="1" applyAlignment="1">
      <alignment vertical="center" wrapText="1"/>
    </xf>
    <xf numFmtId="0" fontId="53" fillId="7" borderId="0" xfId="0" applyFont="1" applyFill="1" applyAlignment="1">
      <alignment vertical="center" wrapText="1"/>
    </xf>
    <xf numFmtId="0" fontId="53" fillId="8" borderId="0" xfId="0" applyFont="1" applyFill="1" applyAlignment="1">
      <alignment vertical="center" wrapText="1"/>
    </xf>
    <xf numFmtId="0" fontId="53" fillId="9" borderId="0" xfId="0" applyFont="1" applyFill="1" applyAlignment="1">
      <alignment vertical="center" wrapText="1"/>
    </xf>
    <xf numFmtId="0" fontId="44" fillId="14" borderId="57" xfId="0" applyFont="1" applyFill="1" applyBorder="1" applyAlignment="1">
      <alignment horizontal="center" vertical="center"/>
    </xf>
    <xf numFmtId="164" fontId="30" fillId="14" borderId="12" xfId="0" applyNumberFormat="1" applyFont="1" applyFill="1" applyBorder="1" applyAlignment="1">
      <alignment horizontal="center" vertical="center" wrapText="1"/>
    </xf>
    <xf numFmtId="164" fontId="30" fillId="14" borderId="5" xfId="0" applyNumberFormat="1" applyFont="1" applyFill="1" applyBorder="1" applyAlignment="1">
      <alignment horizontal="center" vertical="center" wrapText="1"/>
    </xf>
    <xf numFmtId="164" fontId="30" fillId="15" borderId="5" xfId="0" applyNumberFormat="1" applyFont="1" applyFill="1" applyBorder="1" applyAlignment="1">
      <alignment horizontal="center" vertical="center" wrapText="1"/>
    </xf>
    <xf numFmtId="164" fontId="30" fillId="14" borderId="9" xfId="0" applyNumberFormat="1" applyFont="1" applyFill="1" applyBorder="1" applyAlignment="1">
      <alignment horizontal="center" vertical="center" wrapText="1"/>
    </xf>
    <xf numFmtId="164" fontId="30" fillId="14" borderId="10" xfId="0" applyNumberFormat="1" applyFont="1" applyFill="1" applyBorder="1" applyAlignment="1">
      <alignment horizontal="center" vertical="center" wrapText="1"/>
    </xf>
    <xf numFmtId="0" fontId="30" fillId="3" borderId="70" xfId="0" applyFont="1" applyFill="1" applyBorder="1" applyAlignment="1">
      <alignment horizontal="center" vertical="center"/>
    </xf>
    <xf numFmtId="0" fontId="30" fillId="3" borderId="55" xfId="0" applyFont="1" applyFill="1" applyBorder="1" applyAlignment="1">
      <alignment horizontal="center" vertical="center" wrapText="1"/>
    </xf>
    <xf numFmtId="0" fontId="30" fillId="3" borderId="5" xfId="0" applyFont="1" applyFill="1" applyBorder="1" applyAlignment="1">
      <alignment horizontal="center" vertical="center" wrapText="1"/>
    </xf>
    <xf numFmtId="0" fontId="37" fillId="3" borderId="5" xfId="0" applyFont="1" applyFill="1" applyBorder="1" applyAlignment="1">
      <alignment horizontal="left" vertical="center" wrapText="1"/>
    </xf>
    <xf numFmtId="0" fontId="30" fillId="3" borderId="5" xfId="0" applyFont="1" applyFill="1" applyBorder="1" applyAlignment="1">
      <alignment horizontal="center" vertical="center"/>
    </xf>
    <xf numFmtId="0" fontId="30" fillId="3" borderId="12"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19" xfId="0" applyFont="1" applyFill="1" applyBorder="1" applyAlignment="1">
      <alignment horizontal="center" vertical="center"/>
    </xf>
    <xf numFmtId="0" fontId="37" fillId="3" borderId="19"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12" xfId="0" applyFont="1" applyFill="1" applyBorder="1" applyAlignment="1">
      <alignment horizontal="center" vertical="center"/>
    </xf>
    <xf numFmtId="0" fontId="3" fillId="3" borderId="5" xfId="0" applyFont="1" applyFill="1" applyBorder="1" applyAlignment="1">
      <alignment horizontal="center" vertical="center"/>
    </xf>
    <xf numFmtId="0" fontId="40" fillId="0" borderId="88" xfId="0" applyFont="1" applyBorder="1" applyAlignment="1" applyProtection="1">
      <alignment horizontal="center" vertical="center"/>
      <protection locked="0"/>
    </xf>
    <xf numFmtId="0" fontId="29" fillId="17" borderId="52" xfId="0" applyFont="1" applyFill="1" applyBorder="1" applyAlignment="1">
      <alignment horizontal="center" vertical="center"/>
    </xf>
    <xf numFmtId="0" fontId="0" fillId="2" borderId="52" xfId="0" applyFill="1" applyBorder="1" applyAlignment="1">
      <alignment horizontal="center"/>
    </xf>
    <xf numFmtId="0" fontId="29" fillId="17" borderId="52" xfId="0" applyFont="1" applyFill="1" applyBorder="1"/>
    <xf numFmtId="0" fontId="29" fillId="17" borderId="88" xfId="0" applyFont="1" applyFill="1" applyBorder="1" applyAlignment="1">
      <alignment horizontal="center"/>
    </xf>
    <xf numFmtId="0" fontId="0" fillId="0" borderId="88" xfId="0" applyBorder="1"/>
    <xf numFmtId="0" fontId="29" fillId="17" borderId="89" xfId="0" applyFont="1" applyFill="1" applyBorder="1" applyAlignment="1">
      <alignment horizontal="center"/>
    </xf>
    <xf numFmtId="0" fontId="0" fillId="2" borderId="52" xfId="0" applyFill="1" applyBorder="1"/>
    <xf numFmtId="0" fontId="29" fillId="17" borderId="52" xfId="0" applyFont="1" applyFill="1" applyBorder="1" applyAlignment="1">
      <alignment horizontal="center"/>
    </xf>
    <xf numFmtId="0" fontId="0" fillId="0" borderId="52" xfId="0" applyBorder="1" applyAlignment="1">
      <alignment horizontal="center"/>
    </xf>
    <xf numFmtId="0" fontId="3" fillId="3" borderId="2" xfId="0" applyFont="1" applyFill="1" applyBorder="1" applyAlignment="1">
      <alignment horizontal="center" vertical="center"/>
    </xf>
    <xf numFmtId="0" fontId="29" fillId="3" borderId="0" xfId="0" applyFont="1" applyFill="1"/>
    <xf numFmtId="0" fontId="29" fillId="0" borderId="0" xfId="0" applyFont="1"/>
    <xf numFmtId="0" fontId="55" fillId="0" borderId="0" xfId="0" applyFont="1" applyAlignment="1">
      <alignment horizontal="center" vertical="center" wrapText="1"/>
    </xf>
    <xf numFmtId="0" fontId="56" fillId="3" borderId="0" xfId="0" applyFont="1" applyFill="1"/>
    <xf numFmtId="0" fontId="57" fillId="3" borderId="0" xfId="0" applyFont="1" applyFill="1"/>
    <xf numFmtId="0" fontId="33" fillId="6" borderId="27"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29" xfId="0" applyFont="1" applyFill="1" applyBorder="1" applyAlignment="1">
      <alignment horizontal="center" vertical="center" wrapText="1"/>
    </xf>
    <xf numFmtId="0" fontId="33" fillId="6" borderId="5" xfId="0" applyFont="1" applyFill="1" applyBorder="1" applyAlignment="1">
      <alignment horizontal="center" vertical="center" wrapText="1"/>
    </xf>
    <xf numFmtId="14" fontId="33" fillId="6" borderId="5" xfId="0" applyNumberFormat="1" applyFont="1" applyFill="1" applyBorder="1" applyAlignment="1">
      <alignment horizontal="center" vertical="center" wrapText="1"/>
    </xf>
    <xf numFmtId="0" fontId="33" fillId="6" borderId="19" xfId="0" applyFont="1" applyFill="1" applyBorder="1" applyAlignment="1">
      <alignment horizontal="center" vertical="center" wrapText="1"/>
    </xf>
    <xf numFmtId="14" fontId="33" fillId="6" borderId="19" xfId="0" applyNumberFormat="1" applyFont="1" applyFill="1" applyBorder="1" applyAlignment="1">
      <alignment horizontal="center" vertical="center" wrapText="1"/>
    </xf>
    <xf numFmtId="0" fontId="33" fillId="3" borderId="0" xfId="0" applyFont="1" applyFill="1" applyAlignment="1">
      <alignment horizontal="center" vertical="center"/>
    </xf>
    <xf numFmtId="0" fontId="33" fillId="3" borderId="0" xfId="0" applyFont="1" applyFill="1" applyAlignment="1">
      <alignment horizontal="left" vertical="center"/>
    </xf>
    <xf numFmtId="0" fontId="55" fillId="2" borderId="5" xfId="0" applyFont="1" applyFill="1" applyBorder="1" applyAlignment="1">
      <alignment horizontal="center" vertical="center" wrapText="1"/>
    </xf>
    <xf numFmtId="0" fontId="55" fillId="2" borderId="55" xfId="0" applyFont="1" applyFill="1" applyBorder="1" applyAlignment="1">
      <alignment horizontal="center" vertical="center" wrapText="1"/>
    </xf>
    <xf numFmtId="0" fontId="55" fillId="2" borderId="52" xfId="0" applyFont="1" applyFill="1" applyBorder="1" applyAlignment="1">
      <alignment horizontal="center" vertical="center" wrapText="1"/>
    </xf>
    <xf numFmtId="0" fontId="29" fillId="0" borderId="52" xfId="0" applyFont="1" applyBorder="1"/>
    <xf numFmtId="0" fontId="55" fillId="2" borderId="4" xfId="0" applyFont="1" applyFill="1" applyBorder="1" applyAlignment="1">
      <alignment horizontal="center" vertical="center" wrapText="1"/>
    </xf>
    <xf numFmtId="0" fontId="40" fillId="6" borderId="52" xfId="0" applyFont="1" applyFill="1" applyBorder="1" applyAlignment="1">
      <alignment horizontal="center" vertical="center" wrapText="1"/>
    </xf>
    <xf numFmtId="0" fontId="55" fillId="2" borderId="5" xfId="0" quotePrefix="1" applyFont="1" applyFill="1" applyBorder="1" applyAlignment="1">
      <alignment horizontal="center" vertical="center" wrapText="1"/>
    </xf>
    <xf numFmtId="0" fontId="55" fillId="0" borderId="5" xfId="0" applyFont="1" applyBorder="1" applyAlignment="1">
      <alignment horizontal="center" vertical="center" wrapText="1"/>
    </xf>
    <xf numFmtId="0" fontId="29" fillId="0" borderId="52" xfId="0" quotePrefix="1" applyFont="1" applyBorder="1" applyAlignment="1" applyProtection="1">
      <alignment horizontal="center" vertical="center"/>
      <protection locked="0"/>
    </xf>
    <xf numFmtId="0" fontId="55" fillId="13" borderId="5" xfId="0" applyFont="1" applyFill="1" applyBorder="1" applyAlignment="1">
      <alignment horizontal="center" vertical="center" wrapText="1"/>
    </xf>
    <xf numFmtId="0" fontId="0" fillId="3" borderId="53" xfId="0" applyFill="1" applyBorder="1"/>
    <xf numFmtId="0" fontId="8" fillId="3" borderId="0" xfId="0" applyFont="1" applyFill="1" applyAlignment="1">
      <alignment horizontal="center" vertical="center" wrapText="1"/>
    </xf>
    <xf numFmtId="0" fontId="10" fillId="3" borderId="0" xfId="0" applyFont="1" applyFill="1" applyAlignment="1">
      <alignment horizontal="center" vertical="center" wrapText="1"/>
    </xf>
    <xf numFmtId="0" fontId="11" fillId="3" borderId="0" xfId="0" applyFont="1" applyFill="1" applyAlignment="1">
      <alignment vertical="center"/>
    </xf>
    <xf numFmtId="0" fontId="3" fillId="3"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61" fillId="0" borderId="8" xfId="0" applyFont="1" applyBorder="1" applyAlignment="1">
      <alignment horizontal="center" vertical="center"/>
    </xf>
    <xf numFmtId="0" fontId="0" fillId="6" borderId="52" xfId="0" applyFill="1" applyBorder="1" applyAlignment="1">
      <alignment horizontal="left" vertical="top" wrapText="1"/>
    </xf>
    <xf numFmtId="0" fontId="33" fillId="6" borderId="26" xfId="0" applyFont="1" applyFill="1" applyBorder="1" applyAlignment="1">
      <alignment horizontal="left" vertical="center" wrapText="1"/>
    </xf>
    <xf numFmtId="0" fontId="63" fillId="3" borderId="1" xfId="0" applyFont="1" applyFill="1" applyBorder="1" applyAlignment="1">
      <alignment vertical="center"/>
    </xf>
    <xf numFmtId="0" fontId="63" fillId="3" borderId="4" xfId="0" applyFont="1" applyFill="1" applyBorder="1" applyAlignment="1">
      <alignment vertical="center" wrapText="1"/>
    </xf>
    <xf numFmtId="0" fontId="63" fillId="3" borderId="18" xfId="0" applyFont="1" applyFill="1" applyBorder="1" applyAlignment="1">
      <alignment vertical="center"/>
    </xf>
    <xf numFmtId="0" fontId="64" fillId="3" borderId="0" xfId="0" applyFont="1" applyFill="1" applyAlignment="1">
      <alignment horizontal="left" wrapText="1"/>
    </xf>
    <xf numFmtId="0" fontId="64" fillId="3" borderId="0" xfId="0" applyFont="1" applyFill="1"/>
    <xf numFmtId="0" fontId="64" fillId="3" borderId="0" xfId="0" applyFont="1" applyFill="1" applyAlignment="1">
      <alignment wrapText="1"/>
    </xf>
    <xf numFmtId="0" fontId="30" fillId="3" borderId="3" xfId="0" applyFont="1" applyFill="1" applyBorder="1" applyAlignment="1">
      <alignment horizontal="center" vertical="center" wrapText="1"/>
    </xf>
    <xf numFmtId="0" fontId="54" fillId="6" borderId="3" xfId="0" applyFont="1" applyFill="1" applyBorder="1" applyAlignment="1">
      <alignment vertical="center" wrapText="1"/>
    </xf>
    <xf numFmtId="0" fontId="30" fillId="3" borderId="45" xfId="0" applyFont="1" applyFill="1" applyBorder="1" applyAlignment="1">
      <alignment horizontal="center" vertical="center" wrapText="1"/>
    </xf>
    <xf numFmtId="0" fontId="54" fillId="6" borderId="41" xfId="0" applyFont="1" applyFill="1" applyBorder="1" applyAlignment="1">
      <alignment vertical="center" wrapText="1"/>
    </xf>
    <xf numFmtId="0" fontId="54" fillId="6" borderId="45" xfId="0" applyFont="1" applyFill="1" applyBorder="1" applyAlignment="1">
      <alignment vertical="center" wrapText="1"/>
    </xf>
    <xf numFmtId="0" fontId="30" fillId="3" borderId="15" xfId="0" applyFont="1" applyFill="1" applyBorder="1" applyAlignment="1">
      <alignment horizontal="center" vertical="center" wrapText="1"/>
    </xf>
    <xf numFmtId="0" fontId="0" fillId="3" borderId="0" xfId="0" applyFill="1" applyAlignment="1">
      <alignment horizontal="center"/>
    </xf>
    <xf numFmtId="0" fontId="54" fillId="6" borderId="3" xfId="0" applyFont="1" applyFill="1" applyBorder="1" applyAlignment="1">
      <alignment horizontal="center" vertical="center" wrapText="1"/>
    </xf>
    <xf numFmtId="0" fontId="54" fillId="6" borderId="41" xfId="0" applyFont="1" applyFill="1" applyBorder="1" applyAlignment="1">
      <alignment horizontal="center" vertical="center" wrapText="1"/>
    </xf>
    <xf numFmtId="0" fontId="0" fillId="0" borderId="0" xfId="0" applyAlignment="1">
      <alignment horizontal="center"/>
    </xf>
    <xf numFmtId="14" fontId="54" fillId="6" borderId="45" xfId="0" applyNumberFormat="1" applyFont="1" applyFill="1" applyBorder="1" applyAlignment="1">
      <alignment horizontal="center" vertical="center" wrapText="1"/>
    </xf>
    <xf numFmtId="0" fontId="38" fillId="2" borderId="0" xfId="0" applyFont="1" applyFill="1"/>
    <xf numFmtId="0" fontId="55" fillId="6" borderId="0" xfId="0" applyFont="1" applyFill="1" applyAlignment="1">
      <alignment vertical="center" wrapText="1"/>
    </xf>
    <xf numFmtId="0" fontId="0" fillId="2" borderId="0" xfId="0" applyFill="1"/>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0" fillId="2" borderId="0" xfId="0" applyFill="1" applyAlignment="1">
      <alignment horizontal="center" vertical="center" wrapText="1"/>
    </xf>
    <xf numFmtId="0" fontId="29" fillId="2" borderId="0" xfId="0" applyFont="1" applyFill="1"/>
    <xf numFmtId="0" fontId="32" fillId="0" borderId="5" xfId="0" applyFont="1" applyBorder="1" applyAlignment="1">
      <alignment horizontal="center" vertical="center" wrapText="1"/>
    </xf>
    <xf numFmtId="0" fontId="65" fillId="18" borderId="98" xfId="0" applyFont="1" applyFill="1" applyBorder="1" applyAlignment="1">
      <alignment horizontal="left" vertical="center" wrapText="1"/>
    </xf>
    <xf numFmtId="0" fontId="0" fillId="2" borderId="99" xfId="0" applyFill="1" applyBorder="1" applyAlignment="1">
      <alignment horizontal="left" vertical="center" wrapText="1"/>
    </xf>
    <xf numFmtId="0" fontId="0" fillId="2" borderId="5" xfId="0" applyFill="1" applyBorder="1" applyAlignment="1">
      <alignment horizontal="left" vertical="center" wrapText="1"/>
    </xf>
    <xf numFmtId="0" fontId="0" fillId="2" borderId="4" xfId="0" applyFill="1" applyBorder="1" applyAlignment="1">
      <alignment horizontal="left" vertical="center" wrapText="1"/>
    </xf>
    <xf numFmtId="0" fontId="0" fillId="2" borderId="2" xfId="0" applyFill="1" applyBorder="1" applyAlignment="1">
      <alignment horizontal="left" vertical="center" wrapText="1"/>
    </xf>
    <xf numFmtId="0" fontId="0" fillId="2" borderId="99"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00" xfId="0" applyFill="1" applyBorder="1" applyAlignment="1">
      <alignment horizontal="center" wrapText="1"/>
    </xf>
    <xf numFmtId="0" fontId="0" fillId="0" borderId="0" xfId="0" applyAlignment="1">
      <alignment horizontal="center" wrapText="1"/>
    </xf>
    <xf numFmtId="0" fontId="0" fillId="2" borderId="0" xfId="0" applyFill="1" applyAlignment="1">
      <alignment vertical="center"/>
    </xf>
    <xf numFmtId="0" fontId="4" fillId="0" borderId="0" xfId="0" applyFont="1" applyAlignment="1">
      <alignment horizontal="center" vertical="center" wrapText="1"/>
    </xf>
    <xf numFmtId="0" fontId="46" fillId="3" borderId="0" xfId="0"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1" fillId="3" borderId="93" xfId="0" applyFont="1" applyFill="1" applyBorder="1" applyAlignment="1">
      <alignment horizontal="center" vertical="center" wrapText="1"/>
    </xf>
    <xf numFmtId="0" fontId="1" fillId="3" borderId="94"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95" xfId="0" applyFont="1" applyFill="1" applyBorder="1" applyAlignment="1">
      <alignment horizontal="center" vertical="center" wrapText="1"/>
    </xf>
    <xf numFmtId="0" fontId="1" fillId="3" borderId="96" xfId="0" applyFont="1" applyFill="1" applyBorder="1" applyAlignment="1">
      <alignment horizontal="center" vertical="center" wrapText="1"/>
    </xf>
    <xf numFmtId="0" fontId="30" fillId="3" borderId="98" xfId="0" applyFont="1" applyFill="1" applyBorder="1" applyAlignment="1">
      <alignment horizontal="center" vertical="center" wrapText="1"/>
    </xf>
    <xf numFmtId="0" fontId="9" fillId="3" borderId="98" xfId="0" applyFont="1" applyFill="1" applyBorder="1" applyAlignment="1">
      <alignment horizontal="left" vertical="center" wrapText="1"/>
    </xf>
    <xf numFmtId="0" fontId="9" fillId="3" borderId="98" xfId="0" quotePrefix="1" applyFont="1" applyFill="1" applyBorder="1" applyAlignment="1">
      <alignment horizontal="left" vertical="center" wrapText="1"/>
    </xf>
    <xf numFmtId="0" fontId="2" fillId="3" borderId="98" xfId="0" applyFont="1" applyFill="1" applyBorder="1" applyAlignment="1">
      <alignment horizontal="left" vertical="center" wrapText="1"/>
    </xf>
    <xf numFmtId="0" fontId="9" fillId="3" borderId="98" xfId="0" applyFont="1" applyFill="1" applyBorder="1" applyAlignment="1">
      <alignment horizontal="center" vertical="center" wrapText="1"/>
    </xf>
    <xf numFmtId="0" fontId="9" fillId="3" borderId="61" xfId="0" applyFont="1" applyFill="1" applyBorder="1" applyAlignment="1">
      <alignment horizontal="left" vertical="center" wrapText="1"/>
    </xf>
    <xf numFmtId="0" fontId="11" fillId="18" borderId="47" xfId="0" applyFont="1" applyFill="1" applyBorder="1" applyAlignment="1">
      <alignment horizontal="center" vertical="center"/>
    </xf>
    <xf numFmtId="0" fontId="11" fillId="18" borderId="47" xfId="0" applyFont="1" applyFill="1" applyBorder="1" applyAlignment="1">
      <alignment horizontal="center" vertical="center" wrapText="1"/>
    </xf>
    <xf numFmtId="0" fontId="11" fillId="18" borderId="48" xfId="0" applyFont="1" applyFill="1" applyBorder="1" applyAlignment="1">
      <alignment horizontal="center" vertical="center" wrapText="1"/>
    </xf>
    <xf numFmtId="0" fontId="11" fillId="18" borderId="50" xfId="0" applyFont="1" applyFill="1" applyBorder="1" applyAlignment="1">
      <alignment horizontal="center" vertical="center" wrapText="1"/>
    </xf>
    <xf numFmtId="164" fontId="30" fillId="15" borderId="10" xfId="0" applyNumberFormat="1" applyFont="1" applyFill="1" applyBorder="1" applyAlignment="1">
      <alignment horizontal="center" vertical="center" wrapText="1"/>
    </xf>
    <xf numFmtId="164" fontId="30" fillId="19" borderId="11" xfId="0" applyNumberFormat="1"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2" fillId="3" borderId="0" xfId="0" applyFont="1" applyFill="1" applyAlignment="1">
      <alignment vertical="center" wrapText="1"/>
    </xf>
    <xf numFmtId="0" fontId="3" fillId="3" borderId="2" xfId="0" applyFont="1" applyFill="1" applyBorder="1" applyAlignment="1">
      <alignment horizontal="center" vertical="center" wrapText="1"/>
    </xf>
    <xf numFmtId="0" fontId="69" fillId="6" borderId="52" xfId="0" applyFont="1" applyFill="1" applyBorder="1" applyAlignment="1">
      <alignment horizontal="left" vertical="center" wrapText="1"/>
    </xf>
    <xf numFmtId="0" fontId="0" fillId="6" borderId="51" xfId="0" applyFill="1" applyBorder="1" applyAlignment="1">
      <alignment horizontal="center" vertical="center" wrapText="1"/>
    </xf>
    <xf numFmtId="0" fontId="30" fillId="3" borderId="0" xfId="0" applyFont="1" applyFill="1" applyAlignment="1">
      <alignment horizontal="center" vertical="center"/>
    </xf>
    <xf numFmtId="0" fontId="30" fillId="3" borderId="49" xfId="0" applyFont="1" applyFill="1" applyBorder="1" applyAlignment="1">
      <alignment horizontal="center" vertical="center"/>
    </xf>
    <xf numFmtId="0" fontId="30" fillId="3" borderId="0" xfId="0" applyFont="1" applyFill="1" applyAlignment="1">
      <alignment vertical="center" wrapText="1"/>
    </xf>
    <xf numFmtId="0" fontId="30" fillId="3" borderId="0" xfId="0" applyFont="1" applyFill="1" applyAlignment="1">
      <alignment horizontal="left" vertical="center" wrapText="1"/>
    </xf>
    <xf numFmtId="0" fontId="30" fillId="3" borderId="0" xfId="0" applyFont="1" applyFill="1" applyAlignment="1">
      <alignment horizontal="left" vertical="center"/>
    </xf>
    <xf numFmtId="0" fontId="30" fillId="3" borderId="49" xfId="0" applyFont="1" applyFill="1" applyBorder="1" applyAlignment="1">
      <alignment horizontal="left" vertical="center"/>
    </xf>
    <xf numFmtId="0" fontId="73" fillId="6" borderId="52" xfId="0" applyFont="1" applyFill="1" applyBorder="1" applyAlignment="1">
      <alignment horizontal="left" vertical="center" wrapText="1"/>
    </xf>
    <xf numFmtId="0" fontId="32" fillId="6" borderId="2" xfId="0" applyFont="1" applyFill="1" applyBorder="1" applyAlignment="1">
      <alignment horizontal="center" vertical="center" wrapText="1"/>
    </xf>
    <xf numFmtId="0" fontId="3" fillId="3" borderId="101" xfId="0" applyFont="1" applyFill="1" applyBorder="1" applyAlignment="1">
      <alignment horizontal="center" vertical="center" wrapText="1"/>
    </xf>
    <xf numFmtId="0" fontId="17" fillId="0" borderId="83" xfId="0" applyFont="1" applyBorder="1" applyAlignment="1" applyProtection="1">
      <alignment horizontal="left" vertical="top" wrapText="1"/>
      <protection locked="0"/>
    </xf>
    <xf numFmtId="0" fontId="17" fillId="0" borderId="84" xfId="0" applyFont="1" applyBorder="1" applyAlignment="1" applyProtection="1">
      <alignment horizontal="left" vertical="top" wrapText="1"/>
      <protection locked="0"/>
    </xf>
    <xf numFmtId="0" fontId="17" fillId="0" borderId="68" xfId="0" applyFont="1" applyBorder="1" applyAlignment="1" applyProtection="1">
      <alignment horizontal="left" vertical="top" wrapText="1"/>
      <protection locked="0"/>
    </xf>
    <xf numFmtId="0" fontId="17" fillId="0" borderId="52" xfId="0" applyFont="1" applyBorder="1" applyAlignment="1" applyProtection="1">
      <alignment horizontal="left" vertical="top" wrapText="1"/>
      <protection locked="0"/>
    </xf>
    <xf numFmtId="0" fontId="0" fillId="0" borderId="0" xfId="0" applyAlignment="1" applyProtection="1">
      <alignment horizontal="left" vertical="top"/>
      <protection locked="0"/>
    </xf>
    <xf numFmtId="0" fontId="11" fillId="6" borderId="2" xfId="0" applyFont="1" applyFill="1" applyBorder="1" applyAlignment="1">
      <alignment horizontal="left" vertical="top"/>
    </xf>
    <xf numFmtId="0" fontId="11" fillId="6" borderId="4" xfId="0" applyFont="1" applyFill="1" applyBorder="1" applyAlignment="1">
      <alignment horizontal="left" vertical="top"/>
    </xf>
    <xf numFmtId="0" fontId="29" fillId="3" borderId="23" xfId="0" applyFont="1" applyFill="1" applyBorder="1"/>
    <xf numFmtId="0" fontId="33" fillId="6" borderId="105" xfId="0" applyFont="1" applyFill="1" applyBorder="1" applyAlignment="1">
      <alignment horizontal="left" vertical="center" wrapText="1"/>
    </xf>
    <xf numFmtId="0" fontId="32" fillId="6" borderId="110" xfId="0" applyFont="1" applyFill="1" applyBorder="1" applyAlignment="1">
      <alignment horizontal="center" vertical="center" wrapText="1"/>
    </xf>
    <xf numFmtId="0" fontId="32" fillId="6" borderId="111" xfId="0" applyFont="1" applyFill="1" applyBorder="1" applyAlignment="1">
      <alignment horizontal="center" vertical="center" wrapText="1"/>
    </xf>
    <xf numFmtId="0" fontId="32" fillId="6" borderId="112" xfId="0" applyFont="1" applyFill="1" applyBorder="1" applyAlignment="1">
      <alignment horizontal="center" vertical="center" wrapText="1"/>
    </xf>
    <xf numFmtId="0" fontId="32" fillId="6" borderId="113" xfId="0" applyFont="1" applyFill="1" applyBorder="1" applyAlignment="1">
      <alignment horizontal="center" vertical="center" wrapText="1"/>
    </xf>
    <xf numFmtId="0" fontId="4" fillId="3" borderId="73" xfId="0" applyFont="1" applyFill="1" applyBorder="1" applyAlignment="1">
      <alignment horizontal="center" vertical="center" wrapText="1"/>
    </xf>
    <xf numFmtId="0" fontId="4" fillId="3" borderId="53" xfId="0" applyFont="1" applyFill="1" applyBorder="1" applyAlignment="1">
      <alignment horizontal="center" vertical="center" wrapText="1"/>
    </xf>
    <xf numFmtId="0" fontId="0" fillId="3" borderId="91" xfId="0" applyFill="1" applyBorder="1"/>
    <xf numFmtId="0" fontId="33" fillId="4" borderId="26" xfId="0" applyFont="1" applyFill="1" applyBorder="1" applyAlignment="1">
      <alignment horizontal="center" vertical="center" wrapText="1"/>
    </xf>
    <xf numFmtId="0" fontId="64" fillId="3" borderId="73" xfId="0" applyFont="1" applyFill="1" applyBorder="1" applyAlignment="1">
      <alignment horizontal="left" wrapText="1"/>
    </xf>
    <xf numFmtId="0" fontId="12" fillId="3" borderId="73" xfId="0" applyFont="1" applyFill="1" applyBorder="1" applyAlignment="1">
      <alignment horizontal="left" wrapText="1"/>
    </xf>
    <xf numFmtId="0" fontId="48" fillId="0" borderId="114" xfId="0" applyFont="1" applyBorder="1" applyAlignment="1">
      <alignment horizontal="center" vertical="center"/>
    </xf>
    <xf numFmtId="0" fontId="11" fillId="18" borderId="105" xfId="0" applyFont="1" applyFill="1" applyBorder="1" applyAlignment="1">
      <alignment horizontal="center" vertical="center"/>
    </xf>
    <xf numFmtId="0" fontId="11" fillId="6" borderId="102" xfId="0" applyFont="1" applyFill="1" applyBorder="1" applyAlignment="1">
      <alignment horizontal="center" vertical="center" wrapText="1"/>
    </xf>
    <xf numFmtId="0" fontId="48" fillId="0" borderId="28" xfId="0" applyFont="1" applyBorder="1" applyAlignment="1">
      <alignment horizontal="center" vertical="center"/>
    </xf>
    <xf numFmtId="0" fontId="29" fillId="0" borderId="28" xfId="0" applyFont="1" applyBorder="1" applyAlignment="1">
      <alignment horizontal="center" vertical="center"/>
    </xf>
    <xf numFmtId="0" fontId="2" fillId="3" borderId="55" xfId="0" applyFont="1" applyFill="1" applyBorder="1" applyAlignment="1">
      <alignment vertical="center" wrapText="1"/>
    </xf>
    <xf numFmtId="0" fontId="0" fillId="3" borderId="91" xfId="0" applyFill="1" applyBorder="1" applyAlignment="1">
      <alignment vertical="center"/>
    </xf>
    <xf numFmtId="0" fontId="2" fillId="3" borderId="91" xfId="0" applyFont="1" applyFill="1" applyBorder="1" applyAlignment="1">
      <alignment vertical="center" wrapText="1"/>
    </xf>
    <xf numFmtId="0" fontId="11" fillId="6" borderId="56" xfId="0" applyFont="1" applyFill="1" applyBorder="1" applyAlignment="1">
      <alignment horizontal="center" vertical="center" wrapText="1"/>
    </xf>
    <xf numFmtId="0" fontId="0" fillId="3" borderId="31" xfId="0" applyFill="1" applyBorder="1"/>
    <xf numFmtId="164" fontId="30" fillId="19" borderId="2" xfId="0" applyNumberFormat="1" applyFont="1" applyFill="1" applyBorder="1" applyAlignment="1">
      <alignment horizontal="center" vertical="center" wrapText="1"/>
    </xf>
    <xf numFmtId="0" fontId="11" fillId="18" borderId="45" xfId="0" applyFont="1" applyFill="1" applyBorder="1" applyAlignment="1">
      <alignment horizontal="center" vertical="center"/>
    </xf>
    <xf numFmtId="0" fontId="11" fillId="18" borderId="45" xfId="0" applyFont="1" applyFill="1" applyBorder="1" applyAlignment="1">
      <alignment horizontal="center" vertical="center" wrapText="1"/>
    </xf>
    <xf numFmtId="0" fontId="11" fillId="18" borderId="0" xfId="0" applyFont="1" applyFill="1" applyAlignment="1">
      <alignment horizontal="center" vertical="center" wrapText="1"/>
    </xf>
    <xf numFmtId="0" fontId="11" fillId="18" borderId="49" xfId="0" applyFont="1" applyFill="1" applyBorder="1" applyAlignment="1">
      <alignment horizontal="center" vertical="center"/>
    </xf>
    <xf numFmtId="0" fontId="9" fillId="3" borderId="36" xfId="0" applyFont="1" applyFill="1" applyBorder="1" applyAlignment="1">
      <alignment horizontal="center" vertical="top" wrapText="1"/>
    </xf>
    <xf numFmtId="0" fontId="9" fillId="3" borderId="7" xfId="0" applyFont="1" applyFill="1" applyBorder="1" applyAlignment="1">
      <alignment horizontal="center" vertical="top" wrapText="1"/>
    </xf>
    <xf numFmtId="0" fontId="9" fillId="3" borderId="37" xfId="0" applyFont="1" applyFill="1" applyBorder="1" applyAlignment="1">
      <alignment horizontal="center" vertical="top" wrapText="1"/>
    </xf>
    <xf numFmtId="0" fontId="9" fillId="3" borderId="38" xfId="0" applyFont="1" applyFill="1" applyBorder="1" applyAlignment="1">
      <alignment horizontal="center" vertical="top" wrapText="1"/>
    </xf>
    <xf numFmtId="0" fontId="9" fillId="3" borderId="39" xfId="0" applyFont="1" applyFill="1" applyBorder="1" applyAlignment="1">
      <alignment horizontal="center" vertical="top" wrapText="1"/>
    </xf>
    <xf numFmtId="0" fontId="9" fillId="3" borderId="40" xfId="0" applyFont="1" applyFill="1" applyBorder="1" applyAlignment="1">
      <alignment horizontal="center" vertical="top" wrapText="1"/>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61" fillId="0" borderId="30" xfId="0" applyFont="1" applyBorder="1" applyAlignment="1">
      <alignment horizontal="center" vertical="center"/>
    </xf>
    <xf numFmtId="0" fontId="61" fillId="0" borderId="31" xfId="0" applyFont="1" applyBorder="1" applyAlignment="1">
      <alignment horizontal="center" vertical="center"/>
    </xf>
    <xf numFmtId="0" fontId="61" fillId="0" borderId="32" xfId="0" applyFont="1" applyBorder="1" applyAlignment="1">
      <alignment horizontal="center" vertical="center"/>
    </xf>
    <xf numFmtId="0" fontId="3" fillId="3" borderId="8" xfId="0" applyFont="1" applyFill="1" applyBorder="1" applyAlignment="1">
      <alignment horizontal="center" vertical="center"/>
    </xf>
    <xf numFmtId="0" fontId="61" fillId="0" borderId="8" xfId="0" applyFont="1" applyBorder="1" applyAlignment="1">
      <alignment horizontal="center" vertical="center"/>
    </xf>
    <xf numFmtId="0" fontId="9" fillId="3" borderId="90" xfId="0" applyFont="1" applyFill="1" applyBorder="1" applyAlignment="1">
      <alignment horizontal="left" vertical="center" wrapText="1"/>
    </xf>
    <xf numFmtId="0" fontId="9" fillId="3" borderId="91" xfId="0" applyFont="1" applyFill="1" applyBorder="1" applyAlignment="1">
      <alignment horizontal="left" vertical="center" wrapText="1"/>
    </xf>
    <xf numFmtId="0" fontId="9" fillId="3" borderId="92" xfId="0" applyFont="1" applyFill="1" applyBorder="1" applyAlignment="1">
      <alignment horizontal="left" vertical="center" wrapText="1"/>
    </xf>
    <xf numFmtId="0" fontId="61" fillId="0" borderId="90" xfId="0" applyFont="1" applyBorder="1" applyAlignment="1">
      <alignment horizontal="center" vertical="center"/>
    </xf>
    <xf numFmtId="0" fontId="61" fillId="0" borderId="91" xfId="0" applyFont="1" applyBorder="1" applyAlignment="1">
      <alignment horizontal="center" vertical="center"/>
    </xf>
    <xf numFmtId="0" fontId="61" fillId="0" borderId="92" xfId="0" applyFont="1" applyBorder="1" applyAlignment="1">
      <alignment horizontal="center" vertical="center"/>
    </xf>
    <xf numFmtId="0" fontId="9" fillId="3" borderId="90" xfId="0" applyFont="1" applyFill="1" applyBorder="1" applyAlignment="1">
      <alignment horizontal="left" vertical="top" wrapText="1"/>
    </xf>
    <xf numFmtId="0" fontId="9" fillId="3" borderId="91" xfId="0" applyFont="1" applyFill="1" applyBorder="1" applyAlignment="1">
      <alignment horizontal="left" vertical="top" wrapText="1"/>
    </xf>
    <xf numFmtId="0" fontId="9" fillId="3" borderId="92" xfId="0" applyFont="1" applyFill="1" applyBorder="1" applyAlignment="1">
      <alignment horizontal="left" vertical="top" wrapText="1"/>
    </xf>
    <xf numFmtId="0" fontId="33" fillId="6" borderId="2" xfId="0" applyFont="1" applyFill="1" applyBorder="1" applyAlignment="1">
      <alignment horizontal="left" vertical="center" wrapText="1"/>
    </xf>
    <xf numFmtId="0" fontId="33" fillId="6" borderId="3" xfId="0" applyFont="1" applyFill="1" applyBorder="1" applyAlignment="1">
      <alignment horizontal="left" vertical="center" wrapText="1"/>
    </xf>
    <xf numFmtId="0" fontId="33" fillId="6" borderId="62" xfId="0" applyFont="1" applyFill="1" applyBorder="1" applyAlignment="1">
      <alignment horizontal="center" vertical="center" wrapText="1"/>
    </xf>
    <xf numFmtId="0" fontId="33" fillId="6" borderId="63" xfId="0" applyFont="1" applyFill="1" applyBorder="1" applyAlignment="1">
      <alignment horizontal="center" vertical="center" wrapText="1"/>
    </xf>
    <xf numFmtId="0" fontId="40" fillId="6" borderId="52"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55" fillId="2" borderId="52"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33" fillId="6" borderId="4" xfId="0" applyFont="1" applyFill="1" applyBorder="1" applyAlignment="1">
      <alignment horizontal="center" vertical="center" wrapText="1"/>
    </xf>
    <xf numFmtId="0" fontId="3" fillId="3" borderId="14"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3" fillId="6" borderId="2" xfId="0" applyFont="1" applyFill="1" applyBorder="1" applyAlignment="1">
      <alignment horizontal="left" vertical="center"/>
    </xf>
    <xf numFmtId="0" fontId="33" fillId="6" borderId="3" xfId="0" applyFont="1" applyFill="1" applyBorder="1" applyAlignment="1">
      <alignment horizontal="left" vertical="center"/>
    </xf>
    <xf numFmtId="0" fontId="33" fillId="6" borderId="15" xfId="0" applyFont="1" applyFill="1" applyBorder="1" applyAlignment="1">
      <alignment horizontal="left" vertical="center"/>
    </xf>
    <xf numFmtId="0" fontId="33" fillId="6" borderId="20" xfId="0" applyFont="1" applyFill="1" applyBorder="1" applyAlignment="1">
      <alignment horizontal="left" vertical="center"/>
    </xf>
    <xf numFmtId="0" fontId="33" fillId="6" borderId="17" xfId="0" applyFont="1" applyFill="1" applyBorder="1" applyAlignment="1">
      <alignment horizontal="left" vertical="center"/>
    </xf>
    <xf numFmtId="0" fontId="33" fillId="6" borderId="21" xfId="0" applyFont="1" applyFill="1" applyBorder="1" applyAlignment="1">
      <alignment horizontal="left" vertical="center"/>
    </xf>
    <xf numFmtId="0" fontId="30" fillId="3" borderId="22" xfId="0" applyFont="1" applyFill="1" applyBorder="1" applyAlignment="1">
      <alignment horizontal="center" vertical="center"/>
    </xf>
    <xf numFmtId="0" fontId="30" fillId="3" borderId="23" xfId="0" applyFont="1" applyFill="1" applyBorder="1" applyAlignment="1">
      <alignment horizontal="center" vertical="center"/>
    </xf>
    <xf numFmtId="0" fontId="30" fillId="3" borderId="24" xfId="0" applyFont="1" applyFill="1" applyBorder="1" applyAlignment="1">
      <alignment horizontal="center" vertical="center"/>
    </xf>
    <xf numFmtId="0" fontId="33" fillId="6" borderId="3" xfId="0" applyFont="1" applyFill="1" applyBorder="1" applyAlignment="1">
      <alignment horizontal="center" vertical="center" wrapText="1"/>
    </xf>
    <xf numFmtId="0" fontId="33" fillId="6" borderId="15" xfId="0" applyFont="1" applyFill="1" applyBorder="1" applyAlignment="1">
      <alignment horizontal="center" vertical="center" wrapText="1"/>
    </xf>
    <xf numFmtId="0" fontId="33" fillId="6" borderId="15" xfId="0" applyFont="1" applyFill="1" applyBorder="1" applyAlignment="1">
      <alignment horizontal="left" vertical="center" wrapText="1"/>
    </xf>
    <xf numFmtId="0" fontId="33" fillId="6" borderId="17" xfId="0" applyFont="1" applyFill="1" applyBorder="1" applyAlignment="1">
      <alignment horizontal="left" vertical="center" wrapText="1"/>
    </xf>
    <xf numFmtId="0" fontId="33" fillId="6" borderId="21" xfId="0" applyFont="1" applyFill="1" applyBorder="1" applyAlignment="1">
      <alignment horizontal="left" vertical="center" wrapText="1"/>
    </xf>
    <xf numFmtId="0" fontId="3" fillId="3" borderId="55" xfId="0" applyFont="1" applyFill="1" applyBorder="1" applyAlignment="1">
      <alignment horizontal="center" vertical="center" wrapText="1"/>
    </xf>
    <xf numFmtId="0" fontId="3" fillId="3" borderId="61" xfId="0" applyFont="1" applyFill="1" applyBorder="1" applyAlignment="1">
      <alignment horizontal="center" vertical="center" wrapText="1"/>
    </xf>
    <xf numFmtId="0" fontId="3" fillId="3" borderId="6" xfId="0" applyFont="1" applyFill="1" applyBorder="1" applyAlignment="1">
      <alignment horizontal="center" vertical="center" wrapText="1"/>
    </xf>
    <xf numFmtId="14" fontId="33" fillId="6" borderId="62" xfId="0" applyNumberFormat="1" applyFont="1" applyFill="1" applyBorder="1" applyAlignment="1">
      <alignment horizontal="left" vertical="center" wrapText="1"/>
    </xf>
    <xf numFmtId="14" fontId="33" fillId="6" borderId="63" xfId="0" applyNumberFormat="1" applyFont="1" applyFill="1" applyBorder="1" applyAlignment="1">
      <alignment horizontal="left" vertical="center" wrapText="1"/>
    </xf>
    <xf numFmtId="14" fontId="33" fillId="6" borderId="64" xfId="0" applyNumberFormat="1" applyFont="1" applyFill="1" applyBorder="1" applyAlignment="1">
      <alignment horizontal="left" vertical="center" wrapText="1"/>
    </xf>
    <xf numFmtId="14" fontId="33" fillId="6" borderId="56" xfId="0" applyNumberFormat="1" applyFont="1" applyFill="1" applyBorder="1" applyAlignment="1">
      <alignment horizontal="left" vertical="center" wrapText="1"/>
    </xf>
    <xf numFmtId="14" fontId="33" fillId="6" borderId="65" xfId="0" applyNumberFormat="1" applyFont="1" applyFill="1" applyBorder="1" applyAlignment="1">
      <alignment horizontal="left" vertical="center" wrapText="1"/>
    </xf>
    <xf numFmtId="14" fontId="33" fillId="6" borderId="1" xfId="0" applyNumberFormat="1"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41" xfId="0" applyFont="1" applyFill="1" applyBorder="1" applyAlignment="1">
      <alignment horizontal="center" vertical="center" wrapText="1"/>
    </xf>
    <xf numFmtId="0" fontId="3" fillId="3" borderId="10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08" xfId="0" applyFont="1" applyFill="1" applyBorder="1" applyAlignment="1">
      <alignment horizontal="center" vertical="center" wrapText="1"/>
    </xf>
    <xf numFmtId="0" fontId="3" fillId="3" borderId="70"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3" fillId="6" borderId="62" xfId="0" applyFont="1" applyFill="1" applyBorder="1" applyAlignment="1">
      <alignment horizontal="left" vertical="center" wrapText="1"/>
    </xf>
    <xf numFmtId="0" fontId="33" fillId="6" borderId="41" xfId="0" applyFont="1" applyFill="1" applyBorder="1" applyAlignment="1">
      <alignment horizontal="left" vertical="center" wrapText="1"/>
    </xf>
    <xf numFmtId="0" fontId="33" fillId="6" borderId="106" xfId="0" applyFont="1" applyFill="1" applyBorder="1" applyAlignment="1">
      <alignment horizontal="left" vertical="center" wrapText="1"/>
    </xf>
    <xf numFmtId="0" fontId="33" fillId="6" borderId="107" xfId="0" applyFont="1" applyFill="1" applyBorder="1" applyAlignment="1">
      <alignment horizontal="left" vertical="center" wrapText="1"/>
    </xf>
    <xf numFmtId="14" fontId="33" fillId="6" borderId="106" xfId="0" applyNumberFormat="1" applyFont="1" applyFill="1" applyBorder="1" applyAlignment="1">
      <alignment horizontal="left" vertical="center" wrapText="1"/>
    </xf>
    <xf numFmtId="14" fontId="33" fillId="6" borderId="109" xfId="0" applyNumberFormat="1" applyFont="1" applyFill="1" applyBorder="1" applyAlignment="1">
      <alignment horizontal="left" vertical="center" wrapText="1"/>
    </xf>
    <xf numFmtId="0" fontId="53" fillId="6" borderId="17" xfId="0" applyFont="1" applyFill="1" applyBorder="1" applyAlignment="1">
      <alignment horizontal="center" vertical="center" wrapText="1"/>
    </xf>
    <xf numFmtId="0" fontId="3" fillId="3" borderId="64"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62" xfId="0" applyFont="1" applyFill="1" applyBorder="1" applyAlignment="1">
      <alignment horizontal="center" vertical="center" wrapText="1"/>
    </xf>
    <xf numFmtId="0" fontId="3" fillId="3" borderId="63" xfId="0" applyFont="1" applyFill="1" applyBorder="1" applyAlignment="1">
      <alignment horizontal="center" vertical="center" wrapText="1"/>
    </xf>
    <xf numFmtId="0" fontId="51" fillId="11" borderId="0" xfId="0" applyFont="1" applyFill="1" applyAlignment="1">
      <alignment horizontal="center" vertical="center" wrapText="1" readingOrder="1"/>
    </xf>
    <xf numFmtId="0" fontId="30" fillId="3" borderId="9" xfId="0" applyFont="1" applyFill="1" applyBorder="1" applyAlignment="1">
      <alignment horizontal="center" vertical="center"/>
    </xf>
    <xf numFmtId="0" fontId="30" fillId="3" borderId="10" xfId="0" applyFont="1" applyFill="1" applyBorder="1" applyAlignment="1">
      <alignment horizontal="center" vertical="center"/>
    </xf>
    <xf numFmtId="0" fontId="30" fillId="3" borderId="86" xfId="0" applyFont="1" applyFill="1" applyBorder="1" applyAlignment="1">
      <alignment horizontal="center" vertical="center"/>
    </xf>
    <xf numFmtId="0" fontId="30" fillId="3" borderId="11" xfId="0" applyFont="1" applyFill="1" applyBorder="1" applyAlignment="1">
      <alignment horizontal="center" vertical="center"/>
    </xf>
    <xf numFmtId="0" fontId="21" fillId="3" borderId="12"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11" fillId="6" borderId="2"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1" fillId="6" borderId="15" xfId="0" applyFont="1" applyFill="1" applyBorder="1" applyAlignment="1">
      <alignment horizontal="left" vertical="center" wrapText="1"/>
    </xf>
    <xf numFmtId="0" fontId="21" fillId="3" borderId="25" xfId="0" applyFont="1" applyFill="1" applyBorder="1" applyAlignment="1">
      <alignment horizontal="center" vertical="center" wrapText="1"/>
    </xf>
    <xf numFmtId="0" fontId="21" fillId="3" borderId="19" xfId="0" applyFont="1" applyFill="1" applyBorder="1" applyAlignment="1">
      <alignment horizontal="center" vertical="center" wrapText="1"/>
    </xf>
    <xf numFmtId="0" fontId="11" fillId="6" borderId="20" xfId="0" applyFont="1" applyFill="1" applyBorder="1" applyAlignment="1">
      <alignment horizontal="left" vertical="center" wrapText="1"/>
    </xf>
    <xf numFmtId="0" fontId="11" fillId="6" borderId="17" xfId="0" applyFont="1" applyFill="1" applyBorder="1" applyAlignment="1">
      <alignment horizontal="left" vertical="center" wrapText="1"/>
    </xf>
    <xf numFmtId="0" fontId="11" fillId="6" borderId="21"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0" fillId="3" borderId="14" xfId="0" applyFont="1" applyFill="1" applyBorder="1" applyAlignment="1">
      <alignment horizontal="left" vertical="center" wrapText="1"/>
    </xf>
    <xf numFmtId="0" fontId="30" fillId="3" borderId="3" xfId="0" applyFont="1" applyFill="1" applyBorder="1" applyAlignment="1">
      <alignment horizontal="left" vertical="center" wrapText="1"/>
    </xf>
    <xf numFmtId="0" fontId="30" fillId="3" borderId="4" xfId="0" applyFont="1" applyFill="1" applyBorder="1" applyAlignment="1">
      <alignment horizontal="left" vertical="center" wrapText="1"/>
    </xf>
    <xf numFmtId="0" fontId="30" fillId="3" borderId="30" xfId="0" applyFont="1" applyFill="1" applyBorder="1" applyAlignment="1">
      <alignment horizontal="center" vertical="center"/>
    </xf>
    <xf numFmtId="0" fontId="30" fillId="3" borderId="31" xfId="0" applyFont="1" applyFill="1" applyBorder="1" applyAlignment="1">
      <alignment horizontal="center" vertical="center"/>
    </xf>
    <xf numFmtId="0" fontId="30" fillId="3" borderId="32" xfId="0" applyFont="1" applyFill="1" applyBorder="1" applyAlignment="1">
      <alignment horizontal="center" vertical="center"/>
    </xf>
    <xf numFmtId="0" fontId="30" fillId="3" borderId="66" xfId="0" applyFont="1" applyFill="1" applyBorder="1" applyAlignment="1">
      <alignment horizontal="center" vertical="center" wrapText="1"/>
    </xf>
    <xf numFmtId="0" fontId="30" fillId="3" borderId="67" xfId="0" applyFont="1" applyFill="1" applyBorder="1" applyAlignment="1">
      <alignment horizontal="center" vertical="center" wrapText="1"/>
    </xf>
    <xf numFmtId="0" fontId="3" fillId="3" borderId="43" xfId="0" applyFont="1" applyFill="1" applyBorder="1" applyAlignment="1">
      <alignment horizontal="left" vertical="center" wrapText="1"/>
    </xf>
    <xf numFmtId="0" fontId="11" fillId="6" borderId="44" xfId="0" applyFont="1" applyFill="1" applyBorder="1" applyAlignment="1">
      <alignment horizontal="left" vertical="center" wrapText="1"/>
    </xf>
    <xf numFmtId="0" fontId="31" fillId="2" borderId="48" xfId="0" applyFont="1" applyFill="1" applyBorder="1" applyAlignment="1">
      <alignment horizontal="center" vertical="center"/>
    </xf>
    <xf numFmtId="0" fontId="37" fillId="3" borderId="2" xfId="0" applyFont="1" applyFill="1" applyBorder="1" applyAlignment="1">
      <alignment horizontal="center" vertical="center"/>
    </xf>
    <xf numFmtId="0" fontId="37" fillId="3" borderId="3" xfId="0" applyFont="1" applyFill="1" applyBorder="1" applyAlignment="1">
      <alignment horizontal="center" vertical="center"/>
    </xf>
    <xf numFmtId="0" fontId="53" fillId="6" borderId="14" xfId="0" applyFont="1" applyFill="1" applyBorder="1" applyAlignment="1">
      <alignment horizontal="center" vertical="center" wrapText="1"/>
    </xf>
    <xf numFmtId="0" fontId="53" fillId="6" borderId="3" xfId="0" applyFont="1" applyFill="1" applyBorder="1" applyAlignment="1">
      <alignment horizontal="center" vertical="center" wrapText="1"/>
    </xf>
    <xf numFmtId="0" fontId="31" fillId="3" borderId="48" xfId="0" applyFont="1" applyFill="1" applyBorder="1" applyAlignment="1">
      <alignment horizontal="center" vertical="center"/>
    </xf>
    <xf numFmtId="0" fontId="3" fillId="3" borderId="71" xfId="0" applyFont="1" applyFill="1" applyBorder="1" applyAlignment="1">
      <alignment horizontal="left" vertical="center" wrapText="1"/>
    </xf>
    <xf numFmtId="0" fontId="37" fillId="3" borderId="14" xfId="0" applyFont="1" applyFill="1" applyBorder="1" applyAlignment="1">
      <alignment horizontal="center" vertical="center"/>
    </xf>
    <xf numFmtId="0" fontId="30" fillId="3" borderId="0" xfId="0" applyFont="1" applyFill="1" applyAlignment="1">
      <alignment horizontal="center" vertical="center"/>
    </xf>
    <xf numFmtId="0" fontId="30" fillId="3" borderId="49" xfId="0" applyFont="1" applyFill="1" applyBorder="1" applyAlignment="1">
      <alignment horizontal="center" vertical="center"/>
    </xf>
    <xf numFmtId="0" fontId="53" fillId="6" borderId="16" xfId="0" applyFont="1" applyFill="1" applyBorder="1" applyAlignment="1">
      <alignment horizontal="center" vertical="center" wrapText="1"/>
    </xf>
    <xf numFmtId="0" fontId="37" fillId="3" borderId="1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3" xfId="0" applyFont="1" applyFill="1" applyBorder="1" applyAlignment="1">
      <alignment horizontal="center" vertical="center"/>
    </xf>
    <xf numFmtId="0" fontId="9" fillId="3" borderId="14"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8" fillId="3" borderId="16" xfId="0" applyFont="1" applyFill="1" applyBorder="1" applyAlignment="1">
      <alignment horizontal="center" vertical="center" wrapText="1"/>
    </xf>
    <xf numFmtId="0" fontId="68" fillId="3" borderId="17" xfId="0" applyFont="1" applyFill="1" applyBorder="1" applyAlignment="1">
      <alignment horizontal="center" vertical="center" wrapText="1"/>
    </xf>
    <xf numFmtId="0" fontId="68" fillId="3" borderId="18" xfId="0" applyFont="1" applyFill="1" applyBorder="1" applyAlignment="1">
      <alignment horizontal="center" vertical="center" wrapText="1"/>
    </xf>
    <xf numFmtId="0" fontId="32" fillId="6" borderId="20" xfId="0" applyFont="1" applyFill="1" applyBorder="1" applyAlignment="1">
      <alignment horizontal="left" vertical="center" wrapText="1"/>
    </xf>
    <xf numFmtId="0" fontId="30" fillId="3" borderId="14"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72" fillId="3" borderId="16" xfId="0" applyFont="1" applyFill="1" applyBorder="1" applyAlignment="1">
      <alignment horizontal="left" vertical="center" wrapText="1"/>
    </xf>
    <xf numFmtId="0" fontId="30" fillId="3" borderId="17" xfId="0" applyFont="1" applyFill="1" applyBorder="1" applyAlignment="1">
      <alignment horizontal="left" vertical="center" wrapText="1"/>
    </xf>
    <xf numFmtId="0" fontId="11" fillId="6" borderId="47" xfId="0" applyFont="1" applyFill="1" applyBorder="1" applyAlignment="1">
      <alignment horizontal="left" vertical="center" wrapText="1"/>
    </xf>
    <xf numFmtId="0" fontId="32" fillId="6" borderId="2" xfId="0" applyFont="1" applyFill="1" applyBorder="1" applyAlignment="1">
      <alignment horizontal="left" vertical="center" wrapText="1"/>
    </xf>
    <xf numFmtId="0" fontId="32" fillId="6" borderId="3" xfId="0" applyFont="1" applyFill="1" applyBorder="1" applyAlignment="1">
      <alignment horizontal="left" vertical="center" wrapText="1"/>
    </xf>
    <xf numFmtId="0" fontId="32" fillId="6" borderId="15" xfId="0" applyFont="1" applyFill="1" applyBorder="1" applyAlignment="1">
      <alignment horizontal="left" vertical="center" wrapText="1"/>
    </xf>
    <xf numFmtId="0" fontId="3" fillId="3" borderId="46" xfId="0" applyFont="1" applyFill="1" applyBorder="1" applyAlignment="1">
      <alignment horizontal="center" vertical="center"/>
    </xf>
    <xf numFmtId="0" fontId="3" fillId="3" borderId="45" xfId="0" applyFont="1" applyFill="1" applyBorder="1" applyAlignment="1">
      <alignment horizontal="center" vertical="center"/>
    </xf>
    <xf numFmtId="0" fontId="3" fillId="3" borderId="47" xfId="0" applyFont="1" applyFill="1" applyBorder="1" applyAlignment="1">
      <alignment horizontal="center" vertical="center"/>
    </xf>
    <xf numFmtId="0" fontId="30" fillId="3" borderId="0" xfId="0" applyFont="1" applyFill="1" applyAlignment="1">
      <alignment horizontal="center" vertical="center" wrapText="1"/>
    </xf>
    <xf numFmtId="0" fontId="31" fillId="2" borderId="0" xfId="0" applyFont="1" applyFill="1" applyAlignment="1">
      <alignment horizontal="center" vertical="center"/>
    </xf>
    <xf numFmtId="0" fontId="31" fillId="3" borderId="59" xfId="0" applyFont="1" applyFill="1" applyBorder="1" applyAlignment="1">
      <alignment horizontal="center" vertical="center"/>
    </xf>
    <xf numFmtId="0" fontId="31" fillId="3" borderId="58" xfId="0" applyFont="1" applyFill="1" applyBorder="1" applyAlignment="1">
      <alignment horizontal="center" vertical="center"/>
    </xf>
    <xf numFmtId="0" fontId="32" fillId="6" borderId="2" xfId="0" applyFont="1" applyFill="1" applyBorder="1" applyAlignment="1">
      <alignment horizontal="center" vertical="center" wrapText="1"/>
    </xf>
    <xf numFmtId="0" fontId="32" fillId="6" borderId="3" xfId="0" applyFont="1" applyFill="1" applyBorder="1" applyAlignment="1">
      <alignment horizontal="center" vertical="center" wrapText="1"/>
    </xf>
    <xf numFmtId="0" fontId="31" fillId="0" borderId="48" xfId="0" applyFont="1" applyBorder="1" applyAlignment="1">
      <alignment horizontal="center" vertical="center"/>
    </xf>
    <xf numFmtId="0" fontId="31" fillId="0" borderId="50" xfId="0" applyFont="1" applyBorder="1" applyAlignment="1">
      <alignment horizontal="center" vertical="center"/>
    </xf>
    <xf numFmtId="0" fontId="11" fillId="6" borderId="72" xfId="0" applyFont="1" applyFill="1" applyBorder="1" applyAlignment="1">
      <alignment horizontal="left" vertical="center" wrapText="1"/>
    </xf>
    <xf numFmtId="0" fontId="31" fillId="0" borderId="0" xfId="0" applyFont="1" applyAlignment="1">
      <alignment horizontal="center" vertical="center"/>
    </xf>
    <xf numFmtId="0" fontId="31" fillId="0" borderId="49" xfId="0" applyFont="1" applyBorder="1" applyAlignment="1">
      <alignment horizontal="center" vertical="center"/>
    </xf>
    <xf numFmtId="0" fontId="30" fillId="3" borderId="15" xfId="0" applyFont="1" applyFill="1" applyBorder="1" applyAlignment="1">
      <alignment horizontal="left" vertical="center" wrapText="1"/>
    </xf>
    <xf numFmtId="0" fontId="33" fillId="4" borderId="20" xfId="0" applyFont="1" applyFill="1" applyBorder="1" applyAlignment="1">
      <alignment horizontal="center" vertical="center" wrapText="1"/>
    </xf>
    <xf numFmtId="0" fontId="33" fillId="4" borderId="18" xfId="0" applyFont="1" applyFill="1" applyBorder="1" applyAlignment="1">
      <alignment horizontal="center" vertical="center" wrapText="1"/>
    </xf>
    <xf numFmtId="0" fontId="33" fillId="4" borderId="0" xfId="0" applyFont="1" applyFill="1" applyAlignment="1">
      <alignment horizontal="center" vertical="center" wrapText="1"/>
    </xf>
    <xf numFmtId="0" fontId="32" fillId="6" borderId="15" xfId="0" applyFont="1" applyFill="1" applyBorder="1" applyAlignment="1">
      <alignment horizontal="center" vertical="center" wrapText="1"/>
    </xf>
    <xf numFmtId="0" fontId="39" fillId="3" borderId="75" xfId="0" applyFont="1" applyFill="1" applyBorder="1" applyAlignment="1">
      <alignment horizontal="center" vertical="center" wrapText="1"/>
    </xf>
    <xf numFmtId="0" fontId="39" fillId="3" borderId="76" xfId="0" applyFont="1" applyFill="1" applyBorder="1" applyAlignment="1">
      <alignment horizontal="center" vertical="center" wrapText="1"/>
    </xf>
    <xf numFmtId="0" fontId="11" fillId="6" borderId="2" xfId="0" applyFont="1" applyFill="1" applyBorder="1" applyAlignment="1">
      <alignment horizontal="left" vertical="top" wrapText="1"/>
    </xf>
    <xf numFmtId="0" fontId="11" fillId="6" borderId="4" xfId="0" applyFont="1" applyFill="1" applyBorder="1" applyAlignment="1">
      <alignment horizontal="left" vertical="top" wrapText="1"/>
    </xf>
    <xf numFmtId="0" fontId="11" fillId="6" borderId="2" xfId="0" applyFont="1" applyFill="1" applyBorder="1" applyAlignment="1">
      <alignment horizontal="left" vertical="top"/>
    </xf>
    <xf numFmtId="0" fontId="11" fillId="6" borderId="4" xfId="0" applyFont="1" applyFill="1" applyBorder="1" applyAlignment="1">
      <alignment horizontal="left" vertical="top"/>
    </xf>
    <xf numFmtId="0" fontId="11" fillId="6" borderId="2" xfId="0" applyFont="1" applyFill="1" applyBorder="1" applyAlignment="1">
      <alignment horizontal="center" vertical="top" wrapText="1"/>
    </xf>
    <xf numFmtId="0" fontId="11" fillId="6" borderId="4" xfId="0" applyFont="1" applyFill="1" applyBorder="1" applyAlignment="1">
      <alignment horizontal="center" vertical="top" wrapText="1"/>
    </xf>
    <xf numFmtId="0" fontId="11" fillId="6" borderId="20" xfId="0" applyFont="1" applyFill="1" applyBorder="1" applyAlignment="1">
      <alignment horizontal="left" vertical="top" wrapText="1"/>
    </xf>
    <xf numFmtId="0" fontId="11" fillId="6" borderId="18" xfId="0" applyFont="1" applyFill="1" applyBorder="1" applyAlignment="1">
      <alignment horizontal="left" vertical="top" wrapText="1"/>
    </xf>
    <xf numFmtId="164" fontId="30" fillId="15" borderId="10" xfId="0" applyNumberFormat="1" applyFont="1" applyFill="1" applyBorder="1" applyAlignment="1">
      <alignment horizontal="center" vertical="center" wrapText="1"/>
    </xf>
    <xf numFmtId="0" fontId="44" fillId="20" borderId="2" xfId="0" applyFont="1" applyFill="1" applyBorder="1" applyAlignment="1">
      <alignment horizontal="center" vertical="center" wrapText="1"/>
    </xf>
    <xf numFmtId="0" fontId="44" fillId="20" borderId="3" xfId="0" applyFont="1" applyFill="1" applyBorder="1" applyAlignment="1">
      <alignment horizontal="center" vertical="center" wrapText="1"/>
    </xf>
    <xf numFmtId="0" fontId="44" fillId="20" borderId="15" xfId="0" applyFont="1" applyFill="1" applyBorder="1" applyAlignment="1">
      <alignment horizontal="center" vertical="center" wrapText="1"/>
    </xf>
    <xf numFmtId="0" fontId="11" fillId="6" borderId="103" xfId="0" applyFont="1" applyFill="1" applyBorder="1" applyAlignment="1">
      <alignment horizontal="left" vertical="top"/>
    </xf>
    <xf numFmtId="0" fontId="11" fillId="6" borderId="104" xfId="0" applyFont="1" applyFill="1" applyBorder="1" applyAlignment="1">
      <alignment horizontal="left" vertical="top"/>
    </xf>
    <xf numFmtId="0" fontId="44" fillId="20" borderId="62" xfId="0" applyFont="1" applyFill="1" applyBorder="1" applyAlignment="1">
      <alignment horizontal="center" vertical="center" wrapText="1"/>
    </xf>
    <xf numFmtId="0" fontId="44" fillId="20" borderId="41" xfId="0" applyFont="1" applyFill="1" applyBorder="1" applyAlignment="1">
      <alignment horizontal="center" vertical="center" wrapText="1"/>
    </xf>
    <xf numFmtId="0" fontId="44" fillId="20" borderId="85" xfId="0" applyFont="1" applyFill="1" applyBorder="1" applyAlignment="1">
      <alignment horizontal="center" vertical="center" wrapText="1"/>
    </xf>
    <xf numFmtId="164" fontId="30" fillId="15" borderId="86" xfId="0" applyNumberFormat="1" applyFont="1" applyFill="1" applyBorder="1" applyAlignment="1">
      <alignment horizontal="center" vertical="center" wrapText="1"/>
    </xf>
    <xf numFmtId="164" fontId="30" fillId="15" borderId="87" xfId="0" applyNumberFormat="1" applyFont="1" applyFill="1" applyBorder="1" applyAlignment="1">
      <alignment horizontal="center" vertical="center" wrapText="1"/>
    </xf>
    <xf numFmtId="0" fontId="44" fillId="20" borderId="64" xfId="0" applyFont="1" applyFill="1" applyBorder="1" applyAlignment="1">
      <alignment horizontal="center" vertical="center" wrapText="1"/>
    </xf>
    <xf numFmtId="0" fontId="44" fillId="20" borderId="0" xfId="0" applyFont="1" applyFill="1" applyAlignment="1">
      <alignment horizontal="center" vertical="center" wrapText="1"/>
    </xf>
    <xf numFmtId="0" fontId="44" fillId="20" borderId="48" xfId="0" applyFont="1" applyFill="1" applyBorder="1" applyAlignment="1">
      <alignment horizontal="center" vertical="center" wrapText="1"/>
    </xf>
    <xf numFmtId="0" fontId="49" fillId="16" borderId="53" xfId="0" applyFont="1" applyFill="1" applyBorder="1" applyAlignment="1">
      <alignment horizontal="left" vertical="center" wrapText="1"/>
    </xf>
    <xf numFmtId="0" fontId="49" fillId="16" borderId="0" xfId="0" applyFont="1" applyFill="1" applyAlignment="1">
      <alignment horizontal="left" vertical="center" wrapText="1"/>
    </xf>
    <xf numFmtId="0" fontId="49" fillId="16" borderId="48" xfId="0" applyFont="1" applyFill="1" applyBorder="1" applyAlignment="1">
      <alignment horizontal="left" vertical="center" wrapText="1"/>
    </xf>
    <xf numFmtId="164" fontId="44" fillId="20" borderId="41" xfId="0" applyNumberFormat="1" applyFont="1" applyFill="1" applyBorder="1" applyAlignment="1">
      <alignment horizontal="center" vertical="center" wrapText="1"/>
    </xf>
    <xf numFmtId="0" fontId="11" fillId="6" borderId="3" xfId="0" applyFont="1" applyFill="1" applyBorder="1" applyAlignment="1">
      <alignment horizontal="left" vertical="top" wrapText="1"/>
    </xf>
    <xf numFmtId="0" fontId="43" fillId="3" borderId="22" xfId="0" applyFont="1" applyFill="1" applyBorder="1" applyAlignment="1">
      <alignment horizontal="center" vertical="center"/>
    </xf>
    <xf numFmtId="0" fontId="43" fillId="3" borderId="9" xfId="0" applyFont="1" applyFill="1" applyBorder="1" applyAlignment="1">
      <alignment horizontal="center" vertical="center"/>
    </xf>
    <xf numFmtId="0" fontId="39" fillId="10" borderId="90" xfId="0" applyFont="1" applyFill="1" applyBorder="1" applyAlignment="1">
      <alignment horizontal="center" vertical="center"/>
    </xf>
    <xf numFmtId="0" fontId="39" fillId="10" borderId="8" xfId="0" applyFont="1" applyFill="1" applyBorder="1" applyAlignment="1">
      <alignment horizontal="center" vertical="center"/>
    </xf>
    <xf numFmtId="164" fontId="30" fillId="15" borderId="5" xfId="0" applyNumberFormat="1" applyFont="1" applyFill="1" applyBorder="1" applyAlignment="1">
      <alignment horizontal="center" vertical="center" wrapText="1"/>
    </xf>
    <xf numFmtId="0" fontId="44" fillId="3" borderId="53" xfId="0" applyFont="1" applyFill="1" applyBorder="1" applyAlignment="1">
      <alignment horizontal="left" vertical="center"/>
    </xf>
    <xf numFmtId="0" fontId="11" fillId="6" borderId="5" xfId="0" applyFont="1" applyFill="1" applyBorder="1" applyAlignment="1">
      <alignment horizontal="left" vertical="top" wrapText="1"/>
    </xf>
    <xf numFmtId="0" fontId="75" fillId="6" borderId="60" xfId="0" applyFont="1" applyFill="1" applyBorder="1" applyAlignment="1">
      <alignment horizontal="center" vertical="center"/>
    </xf>
    <xf numFmtId="0" fontId="75" fillId="6" borderId="59" xfId="0" applyFont="1" applyFill="1" applyBorder="1" applyAlignment="1">
      <alignment horizontal="center" vertical="center"/>
    </xf>
    <xf numFmtId="0" fontId="75" fillId="6" borderId="58" xfId="0" applyFont="1" applyFill="1" applyBorder="1" applyAlignment="1">
      <alignment horizontal="center" vertical="center"/>
    </xf>
    <xf numFmtId="0" fontId="74" fillId="6" borderId="59" xfId="0" applyFont="1" applyFill="1" applyBorder="1" applyAlignment="1">
      <alignment horizontal="center" vertical="top"/>
    </xf>
    <xf numFmtId="0" fontId="74" fillId="6" borderId="58" xfId="0" applyFont="1" applyFill="1" applyBorder="1" applyAlignment="1">
      <alignment horizontal="center" vertical="top"/>
    </xf>
    <xf numFmtId="0" fontId="11" fillId="6" borderId="41" xfId="0" applyFont="1" applyFill="1" applyBorder="1" applyAlignment="1">
      <alignment horizontal="left" vertical="top" wrapText="1"/>
    </xf>
    <xf numFmtId="0" fontId="11" fillId="6" borderId="63" xfId="0" applyFont="1" applyFill="1" applyBorder="1" applyAlignment="1">
      <alignment horizontal="left" vertical="top" wrapText="1"/>
    </xf>
    <xf numFmtId="0" fontId="11" fillId="6" borderId="3" xfId="0" applyFont="1" applyFill="1" applyBorder="1" applyAlignment="1">
      <alignment horizontal="center" vertical="top" wrapText="1"/>
    </xf>
    <xf numFmtId="0" fontId="11" fillId="6" borderId="5" xfId="0" applyFont="1" applyFill="1" applyBorder="1" applyAlignment="1">
      <alignment horizontal="left" vertical="center" wrapText="1"/>
    </xf>
    <xf numFmtId="0" fontId="66" fillId="3" borderId="5" xfId="0" applyFont="1" applyFill="1" applyBorder="1" applyAlignment="1">
      <alignment horizontal="center" vertical="center" wrapText="1"/>
    </xf>
    <xf numFmtId="0" fontId="30" fillId="3" borderId="97" xfId="0" applyFont="1" applyFill="1" applyBorder="1" applyAlignment="1">
      <alignment horizontal="center" vertical="center" textRotation="90"/>
    </xf>
    <xf numFmtId="0" fontId="16" fillId="3" borderId="30"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wrapText="1"/>
    </xf>
    <xf numFmtId="0" fontId="30" fillId="3" borderId="70" xfId="0" applyFont="1" applyFill="1" applyBorder="1" applyAlignment="1">
      <alignment horizontal="center" vertical="center"/>
    </xf>
    <xf numFmtId="0" fontId="30" fillId="3" borderId="73" xfId="0" applyFont="1" applyFill="1" applyBorder="1" applyAlignment="1">
      <alignment horizontal="center" vertical="center"/>
    </xf>
    <xf numFmtId="0" fontId="30" fillId="3" borderId="27" xfId="0" applyFont="1" applyFill="1" applyBorder="1" applyAlignment="1">
      <alignment horizontal="center" vertical="center"/>
    </xf>
    <xf numFmtId="0" fontId="30" fillId="3" borderId="12" xfId="0" applyFont="1" applyFill="1" applyBorder="1" applyAlignment="1">
      <alignment horizontal="center" vertical="center" wrapText="1"/>
    </xf>
    <xf numFmtId="0" fontId="30" fillId="3" borderId="12" xfId="0" applyFont="1" applyFill="1" applyBorder="1" applyAlignment="1">
      <alignment horizontal="center" vertical="center"/>
    </xf>
  </cellXfs>
  <cellStyles count="1">
    <cellStyle name="Normal" xfId="0" builtinId="0"/>
  </cellStyles>
  <dxfs count="84">
    <dxf>
      <fill>
        <patternFill>
          <bgColor rgb="FF92D050"/>
        </patternFill>
      </fill>
    </dxf>
    <dxf>
      <fill>
        <patternFill>
          <bgColor rgb="FFFFC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ont>
        <color theme="0"/>
      </font>
      <fill>
        <patternFill>
          <bgColor rgb="FFC00000"/>
        </patternFill>
      </fill>
    </dxf>
    <dxf>
      <font>
        <color theme="0"/>
      </font>
      <fill>
        <patternFill>
          <bgColor rgb="FFC00000"/>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C00000"/>
        </patternFill>
      </fill>
    </dxf>
    <dxf>
      <fill>
        <patternFill>
          <bgColor rgb="FF92D050"/>
        </patternFill>
      </fill>
    </dxf>
    <dxf>
      <fill>
        <patternFill>
          <bgColor rgb="FFC00000"/>
        </patternFill>
      </fill>
    </dxf>
    <dxf>
      <fill>
        <patternFill>
          <bgColor rgb="FFFF0000"/>
        </patternFill>
      </fill>
    </dxf>
    <dxf>
      <fill>
        <patternFill>
          <bgColor rgb="FFFFC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92D050"/>
        </patternFill>
      </fill>
    </dxf>
    <dxf>
      <fill>
        <patternFill>
          <bgColor rgb="FFFFC000"/>
        </patternFill>
      </fill>
    </dxf>
    <dxf>
      <fill>
        <patternFill>
          <bgColor theme="2"/>
        </patternFill>
      </fill>
    </dxf>
    <dxf>
      <fill>
        <patternFill>
          <bgColor rgb="FF92D05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C00000"/>
        </patternFill>
      </fill>
    </dxf>
    <dxf>
      <fill>
        <patternFill>
          <bgColor theme="0" tint="-0.499984740745262"/>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general" vertical="center" textRotation="0" wrapText="1" indent="0" justifyLastLine="0" shrinkToFit="0" readingOrder="0"/>
      <border diagonalUp="0" diagonalDown="0">
        <left/>
        <right/>
        <top style="thin">
          <color theme="0"/>
        </top>
        <bottom style="thin">
          <color theme="0"/>
        </bottom>
        <vertical/>
        <horizontal/>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general" vertical="center" textRotation="0" wrapText="1"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general" vertical="center" textRotation="0" wrapText="1"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general" vertical="center" textRotation="0" wrapText="1"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ck">
          <color theme="0"/>
        </bottom>
      </border>
    </dxf>
    <dxf>
      <font>
        <b val="0"/>
        <i val="0"/>
        <strike val="0"/>
        <condense val="0"/>
        <extend val="0"/>
        <outline val="0"/>
        <shadow val="0"/>
        <u val="none"/>
        <vertAlign val="baseline"/>
        <sz val="14"/>
        <color auto="1"/>
        <name val="72 Light"/>
        <scheme val="none"/>
      </font>
      <fill>
        <patternFill patternType="solid">
          <fgColor indexed="64"/>
          <bgColor theme="0" tint="-4.9989318521683403E-2"/>
        </patternFill>
      </fill>
      <alignment horizontal="general" vertical="center" textRotation="0" wrapText="1" indent="0" justifyLastLine="0" shrinkToFit="0" readingOrder="0"/>
    </dxf>
    <dxf>
      <border outline="0">
        <bottom style="thin">
          <color theme="0"/>
        </bottom>
      </border>
    </dxf>
    <dxf>
      <font>
        <b/>
        <i val="0"/>
        <strike val="0"/>
        <condense val="0"/>
        <extend val="0"/>
        <outline val="0"/>
        <shadow val="0"/>
        <u val="none"/>
        <vertAlign val="baseline"/>
        <sz val="14"/>
        <color theme="0"/>
        <name val="Calibri"/>
        <family val="2"/>
        <scheme val="minor"/>
      </font>
      <fill>
        <patternFill patternType="solid">
          <fgColor indexed="64"/>
          <bgColor theme="1"/>
        </patternFill>
      </fill>
      <alignment horizontal="center" vertical="center" textRotation="0" wrapText="1" indent="0" justifyLastLine="0" shrinkToFit="0" readingOrder="0"/>
    </dxf>
    <dxf>
      <border outline="0">
        <right style="thick">
          <color theme="0"/>
        </right>
        <top style="thin">
          <color theme="0"/>
        </top>
      </border>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34091</xdr:colOff>
      <xdr:row>0</xdr:row>
      <xdr:rowOff>153984</xdr:rowOff>
    </xdr:from>
    <xdr:to>
      <xdr:col>1</xdr:col>
      <xdr:colOff>1079834</xdr:colOff>
      <xdr:row>1</xdr:row>
      <xdr:rowOff>737365</xdr:rowOff>
    </xdr:to>
    <xdr:pic>
      <xdr:nvPicPr>
        <xdr:cNvPr id="2" name="Image 2">
          <a:extLst>
            <a:ext uri="{FF2B5EF4-FFF2-40B4-BE49-F238E27FC236}">
              <a16:creationId xmlns:a16="http://schemas.microsoft.com/office/drawing/2014/main" id="{72E4B5F5-B863-43B4-8575-7C9A33D6BA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986" y="153984"/>
          <a:ext cx="1045743" cy="763855"/>
        </a:xfrm>
        <a:prstGeom prst="rect">
          <a:avLst/>
        </a:prstGeom>
        <a:ln w="12700">
          <a:solidFill>
            <a:schemeClr val="bg1"/>
          </a:solidFill>
        </a:ln>
      </xdr:spPr>
    </xdr:pic>
    <xdr:clientData/>
  </xdr:twoCellAnchor>
  <xdr:twoCellAnchor editAs="oneCell">
    <xdr:from>
      <xdr:col>5</xdr:col>
      <xdr:colOff>1844841</xdr:colOff>
      <xdr:row>0</xdr:row>
      <xdr:rowOff>90238</xdr:rowOff>
    </xdr:from>
    <xdr:to>
      <xdr:col>5</xdr:col>
      <xdr:colOff>2873082</xdr:colOff>
      <xdr:row>1</xdr:row>
      <xdr:rowOff>777637</xdr:rowOff>
    </xdr:to>
    <xdr:pic>
      <xdr:nvPicPr>
        <xdr:cNvPr id="3" name="Image 2">
          <a:extLst>
            <a:ext uri="{FF2B5EF4-FFF2-40B4-BE49-F238E27FC236}">
              <a16:creationId xmlns:a16="http://schemas.microsoft.com/office/drawing/2014/main" id="{0ED5FB2C-62B6-E89E-3A58-89FDDD0C15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17604" y="90238"/>
          <a:ext cx="1028241" cy="867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392205</xdr:colOff>
      <xdr:row>1</xdr:row>
      <xdr:rowOff>78441</xdr:rowOff>
    </xdr:from>
    <xdr:to>
      <xdr:col>7</xdr:col>
      <xdr:colOff>1617457</xdr:colOff>
      <xdr:row>1</xdr:row>
      <xdr:rowOff>980648</xdr:rowOff>
    </xdr:to>
    <xdr:pic>
      <xdr:nvPicPr>
        <xdr:cNvPr id="2" name="Image 2">
          <a:extLst>
            <a:ext uri="{FF2B5EF4-FFF2-40B4-BE49-F238E27FC236}">
              <a16:creationId xmlns:a16="http://schemas.microsoft.com/office/drawing/2014/main" id="{08F6734C-F8FA-45DE-B88E-99F39B90BA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5793" y="381000"/>
          <a:ext cx="1221442" cy="906976"/>
        </a:xfrm>
        <a:prstGeom prst="rect">
          <a:avLst/>
        </a:prstGeom>
        <a:ln w="12700">
          <a:solidFill>
            <a:schemeClr val="bg1"/>
          </a:solid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DF17F9-C3AD-4718-8061-557413ABA690}" name="Tableau13" displayName="Tableau13" ref="B2:J63" totalsRowShown="0" headerRowDxfId="83" headerRowBorderDxfId="82" tableBorderDxfId="81">
  <autoFilter ref="B2:J63" xr:uid="{B27006D7-59B4-4A3C-84AE-C7374A332B6C}">
    <filterColumn colId="5">
      <filters>
        <filter val="Applicable"/>
      </filters>
    </filterColumn>
  </autoFilter>
  <tableColumns count="9">
    <tableColumn id="1" xr3:uid="{64F1DA94-D307-49EC-B0CD-012731F514EB}" name="Chapter_x000a_/_x000a_Chapitre"/>
    <tableColumn id="2" xr3:uid="{9FBBBDA5-3DE0-407C-A947-902FF1E5EBF8}" name="N°"/>
    <tableColumn id="3" xr3:uid="{CDD6CC42-FE6F-434C-B5C9-CBFC8CD46239}" name="Title_x000a_/_x000a_Titre"/>
    <tableColumn id="4" xr3:uid="{88FFC3FB-6D05-420A-AF3E-073AD523D3EA}" name="Description of the requirement_x000a_/_x000a_Description de l'exigence"/>
    <tableColumn id="5" xr3:uid="{65D56C28-CF96-4811-A230-DB614F756AAA}" name="Use cases (*)_x000a_/_x000a_Cas d'usage (*)"/>
    <tableColumn id="6" xr3:uid="{70BFAE4C-B3CE-4C41-81CA-F08579B2F4F4}" name="Applicability_x000a_/_x000a_Applicabilité"/>
    <tableColumn id="7" xr3:uid="{1931D093-1B2E-4F7D-887F-FEFBB3088C9D}" name="Compliance_x000a_/_x000a_Conformité"/>
    <tableColumn id="8" xr3:uid="{C1530A3E-3FD4-4263-A714-EAC8593ED045}" name="Detailed implemented measures_x000a_/_x000a_Détails sur les mesures implémentées"/>
    <tableColumn id="9" xr3:uid="{0A28B381-347B-4522-B238-E18939F5FDA8}" name="Optional comment on non compliant or partially compliant controls_x000a_/_x000a_Commentaire éventuel sur les mesures non ou partiellement conforme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F1F96-FF53-4719-A844-19FA7BE13164}" name="Tableau1" displayName="Tableau1" ref="E16:J97" totalsRowShown="0" headerRowDxfId="80" dataDxfId="78" headerRowBorderDxfId="79" tableBorderDxfId="77" totalsRowBorderDxfId="76">
  <autoFilter ref="E16:J97" xr:uid="{A4EF1F96-FF53-4719-A844-19FA7BE13164}"/>
  <tableColumns count="6">
    <tableColumn id="1" xr3:uid="{3E57B6E2-A3EA-4F46-A5A9-4AF337F039A9}" name="Selected measure" dataDxfId="75"/>
    <tableColumn id="3" xr3:uid="{CF435DF0-672C-4C6D-8100-7E309A7B1F54}" name="Description of the measure" dataDxfId="74"/>
    <tableColumn id="4" xr3:uid="{1B8C3CD4-66BB-47D2-A740-8AB46FFBB7FD}" name="Risks list (Ri, Rj,...)" dataDxfId="73"/>
    <tableColumn id="5" xr3:uid="{E1F729DB-4A2C-4296-8193-599D9F855BFA}" name="Implementation date" dataDxfId="72"/>
    <tableColumn id="7" xr3:uid="{0AB588C9-83A2-452F-B046-234170438B63}" name="Implementation status" dataDxfId="71"/>
    <tableColumn id="6" xr3:uid="{5AB22E49-BF07-4DF2-A639-2DF58ACF24AC}" name="Comment" dataDxfId="7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341B-CB32-45B6-BCC8-C0FEDB77BD61}">
  <sheetPr codeName="Feuil1">
    <pageSetUpPr fitToPage="1"/>
  </sheetPr>
  <dimension ref="A1:J1048567"/>
  <sheetViews>
    <sheetView topLeftCell="A13" zoomScale="76" zoomScaleNormal="80" workbookViewId="0">
      <selection activeCell="C18" sqref="C18:F18"/>
    </sheetView>
  </sheetViews>
  <sheetFormatPr baseColWidth="10" defaultColWidth="0" defaultRowHeight="14.5" zeroHeight="1"/>
  <cols>
    <col min="1" max="1" width="5.54296875" style="2" customWidth="1"/>
    <col min="2" max="2" width="33.54296875" customWidth="1"/>
    <col min="3" max="3" width="26.453125" customWidth="1"/>
    <col min="4" max="4" width="28.453125" customWidth="1"/>
    <col min="5" max="5" width="27.453125" customWidth="1"/>
    <col min="6" max="6" width="42.453125" customWidth="1"/>
    <col min="7" max="7" width="8.453125" customWidth="1"/>
    <col min="8" max="8" width="32.54296875" hidden="1" customWidth="1"/>
    <col min="9" max="9" width="10.54296875" hidden="1" customWidth="1"/>
    <col min="10" max="10" width="0" hidden="1" customWidth="1"/>
    <col min="11" max="16384" width="10.54296875" hidden="1"/>
  </cols>
  <sheetData>
    <row r="1" spans="1:10">
      <c r="A1" s="7"/>
      <c r="B1" s="1"/>
      <c r="C1" s="1"/>
      <c r="D1" s="1"/>
      <c r="E1" s="1"/>
      <c r="F1" s="1"/>
      <c r="G1" s="1"/>
    </row>
    <row r="2" spans="1:10" ht="70.400000000000006" customHeight="1" thickBot="1">
      <c r="A2" s="7"/>
      <c r="B2" s="1"/>
      <c r="C2" s="27"/>
      <c r="D2" s="27"/>
      <c r="E2" s="27"/>
      <c r="F2" s="27"/>
      <c r="G2" s="7"/>
    </row>
    <row r="3" spans="1:10" ht="24" thickTop="1">
      <c r="A3" s="7"/>
      <c r="B3" s="293" t="s">
        <v>0</v>
      </c>
      <c r="C3" s="294"/>
      <c r="D3" s="294"/>
      <c r="E3" s="294"/>
      <c r="F3" s="295"/>
      <c r="G3" s="7"/>
      <c r="H3" s="5"/>
      <c r="I3" s="2"/>
      <c r="J3" s="2"/>
    </row>
    <row r="4" spans="1:10" ht="27.65" customHeight="1" thickBot="1">
      <c r="A4" s="7"/>
      <c r="B4" s="290" t="s">
        <v>1</v>
      </c>
      <c r="C4" s="291"/>
      <c r="D4" s="291"/>
      <c r="E4" s="291"/>
      <c r="F4" s="292"/>
      <c r="G4" s="7"/>
      <c r="H4" s="5"/>
      <c r="I4" s="5"/>
      <c r="J4" s="2"/>
    </row>
    <row r="5" spans="1:10" ht="23.9" customHeight="1" thickTop="1" thickBot="1">
      <c r="A5" s="7"/>
      <c r="B5" s="7"/>
      <c r="C5" s="7"/>
      <c r="D5" s="7"/>
      <c r="E5" s="7"/>
      <c r="F5" s="7"/>
      <c r="G5" s="7"/>
      <c r="H5" s="5"/>
      <c r="I5" s="2"/>
      <c r="J5" s="2"/>
    </row>
    <row r="6" spans="1:10" ht="24" thickTop="1">
      <c r="A6" s="7"/>
      <c r="B6" s="293" t="s">
        <v>2</v>
      </c>
      <c r="C6" s="294"/>
      <c r="D6" s="294"/>
      <c r="E6" s="294"/>
      <c r="F6" s="295"/>
      <c r="G6" s="7"/>
      <c r="H6" s="5"/>
      <c r="I6" s="2"/>
      <c r="J6" s="2"/>
    </row>
    <row r="7" spans="1:10" ht="14.9" customHeight="1">
      <c r="A7" s="7"/>
      <c r="B7" s="284" t="s">
        <v>3</v>
      </c>
      <c r="C7" s="285"/>
      <c r="D7" s="285"/>
      <c r="E7" s="285"/>
      <c r="F7" s="286"/>
      <c r="G7" s="7"/>
      <c r="H7" s="5"/>
      <c r="I7" s="5"/>
      <c r="J7" s="2"/>
    </row>
    <row r="8" spans="1:10" ht="22.5" customHeight="1" thickBot="1">
      <c r="A8" s="7"/>
      <c r="B8" s="287"/>
      <c r="C8" s="288"/>
      <c r="D8" s="288"/>
      <c r="E8" s="288"/>
      <c r="F8" s="289"/>
      <c r="G8" s="7"/>
      <c r="H8" s="5"/>
      <c r="I8" s="5"/>
      <c r="J8" s="2"/>
    </row>
    <row r="9" spans="1:10" ht="15.5" thickTop="1" thickBot="1">
      <c r="A9" s="7"/>
      <c r="B9" s="169"/>
      <c r="C9" s="169"/>
      <c r="D9" s="169"/>
      <c r="E9" s="169"/>
      <c r="F9" s="169"/>
      <c r="G9" s="7"/>
      <c r="H9" s="5"/>
      <c r="I9" s="2"/>
      <c r="J9" s="2"/>
    </row>
    <row r="10" spans="1:10" ht="24.5" thickTop="1" thickBot="1">
      <c r="A10" s="7"/>
      <c r="B10" s="297" t="s">
        <v>4</v>
      </c>
      <c r="C10" s="297"/>
      <c r="D10" s="297"/>
      <c r="E10" s="297"/>
      <c r="F10" s="297"/>
      <c r="G10" s="7"/>
      <c r="H10" s="5"/>
      <c r="I10" s="2"/>
      <c r="J10" s="2"/>
    </row>
    <row r="11" spans="1:10" ht="22.5" customHeight="1" thickTop="1" thickBot="1">
      <c r="A11" s="7"/>
      <c r="B11" s="296" t="s">
        <v>5</v>
      </c>
      <c r="C11" s="296"/>
      <c r="D11" s="296"/>
      <c r="E11" s="296"/>
      <c r="F11" s="296"/>
      <c r="G11" s="7"/>
      <c r="H11" s="5"/>
      <c r="I11" s="5"/>
      <c r="J11" s="2"/>
    </row>
    <row r="12" spans="1:10" ht="68.25" customHeight="1" thickTop="1" thickBot="1">
      <c r="A12" s="7"/>
      <c r="B12" s="170" t="s">
        <v>6</v>
      </c>
      <c r="C12" s="171" t="s">
        <v>7</v>
      </c>
      <c r="D12" s="171" t="s">
        <v>8</v>
      </c>
      <c r="E12" s="171" t="s">
        <v>9</v>
      </c>
      <c r="F12" s="171" t="s">
        <v>10</v>
      </c>
      <c r="G12" s="7"/>
      <c r="H12" s="5"/>
      <c r="I12" s="5"/>
      <c r="J12" s="2"/>
    </row>
    <row r="13" spans="1:10" ht="56.15" customHeight="1" thickTop="1" thickBot="1">
      <c r="A13" s="7"/>
      <c r="B13" s="167"/>
      <c r="C13" s="168"/>
      <c r="D13" s="168"/>
      <c r="E13" s="168"/>
      <c r="F13" s="168"/>
      <c r="G13" s="7"/>
      <c r="H13" s="5"/>
      <c r="I13" s="5"/>
      <c r="J13" s="2"/>
    </row>
    <row r="14" spans="1:10" ht="27.75" customHeight="1" thickTop="1" thickBot="1">
      <c r="A14" s="7"/>
      <c r="B14" s="172" t="s">
        <v>11</v>
      </c>
      <c r="C14" s="301" t="s">
        <v>12</v>
      </c>
      <c r="D14" s="302"/>
      <c r="E14" s="302"/>
      <c r="F14" s="303"/>
      <c r="G14" s="7"/>
      <c r="H14" s="5"/>
      <c r="I14" s="5"/>
      <c r="J14" s="2"/>
    </row>
    <row r="15" spans="1:10" ht="33.75" customHeight="1" thickTop="1" thickBot="1">
      <c r="A15" s="7"/>
      <c r="B15" s="170" t="s">
        <v>13</v>
      </c>
      <c r="C15" s="298" t="s">
        <v>14</v>
      </c>
      <c r="D15" s="299"/>
      <c r="E15" s="299"/>
      <c r="F15" s="300"/>
      <c r="G15" s="7"/>
      <c r="H15" s="5"/>
      <c r="I15" s="5"/>
      <c r="J15" s="2"/>
    </row>
    <row r="16" spans="1:10" ht="264.75" customHeight="1" thickTop="1" thickBot="1">
      <c r="A16" s="7"/>
      <c r="B16" s="170" t="s">
        <v>15</v>
      </c>
      <c r="C16" s="304" t="s">
        <v>16</v>
      </c>
      <c r="D16" s="305"/>
      <c r="E16" s="305"/>
      <c r="F16" s="306"/>
      <c r="G16" s="7"/>
      <c r="H16" s="5"/>
      <c r="I16" s="5"/>
      <c r="J16" s="2"/>
    </row>
    <row r="17" spans="1:10" ht="139.5" customHeight="1" thickTop="1" thickBot="1">
      <c r="A17" s="7"/>
      <c r="B17" s="170" t="s">
        <v>17</v>
      </c>
      <c r="C17" s="304" t="s">
        <v>18</v>
      </c>
      <c r="D17" s="305"/>
      <c r="E17" s="305"/>
      <c r="F17" s="306"/>
      <c r="G17" s="7"/>
      <c r="H17" s="5"/>
      <c r="I17" s="5"/>
      <c r="J17" s="2"/>
    </row>
    <row r="18" spans="1:10" ht="182.25" customHeight="1" thickTop="1" thickBot="1">
      <c r="A18" s="7"/>
      <c r="B18" s="170" t="s">
        <v>19</v>
      </c>
      <c r="C18" s="298" t="s">
        <v>20</v>
      </c>
      <c r="D18" s="299"/>
      <c r="E18" s="299"/>
      <c r="F18" s="300"/>
      <c r="G18" s="7"/>
      <c r="H18" s="5"/>
      <c r="I18" s="5"/>
      <c r="J18" s="2"/>
    </row>
    <row r="19" spans="1:10" ht="92.25" customHeight="1" thickTop="1" thickBot="1">
      <c r="A19" s="7"/>
      <c r="B19" s="170" t="s">
        <v>21</v>
      </c>
      <c r="C19" s="298" t="s">
        <v>22</v>
      </c>
      <c r="D19" s="299"/>
      <c r="E19" s="299"/>
      <c r="F19" s="300"/>
      <c r="G19" s="7"/>
      <c r="H19" s="5"/>
      <c r="I19" s="5"/>
      <c r="J19" s="2"/>
    </row>
    <row r="20" spans="1:10" ht="179.5" customHeight="1" thickTop="1" thickBot="1">
      <c r="A20" s="7"/>
      <c r="B20" s="170" t="s">
        <v>23</v>
      </c>
      <c r="C20" s="298" t="s">
        <v>24</v>
      </c>
      <c r="D20" s="299"/>
      <c r="E20" s="299"/>
      <c r="F20" s="300"/>
      <c r="G20" s="7"/>
      <c r="H20" s="5"/>
      <c r="I20" s="2"/>
      <c r="J20" s="2"/>
    </row>
    <row r="21" spans="1:10" hidden="1">
      <c r="A21" s="6"/>
      <c r="B21" s="6"/>
      <c r="C21" s="6"/>
      <c r="D21" s="6"/>
      <c r="E21" s="6"/>
      <c r="F21" s="6"/>
      <c r="G21" s="6"/>
      <c r="H21" s="2"/>
      <c r="I21" s="2"/>
      <c r="J21" s="2"/>
    </row>
    <row r="22" spans="1:10" hidden="1">
      <c r="A22" s="6"/>
      <c r="B22" s="6"/>
      <c r="C22" s="6"/>
      <c r="D22" s="6"/>
      <c r="E22" s="6"/>
      <c r="F22" s="6"/>
      <c r="G22" s="6"/>
    </row>
    <row r="23" spans="1:10" hidden="1">
      <c r="A23" s="6"/>
      <c r="B23" s="6"/>
      <c r="C23" s="6"/>
      <c r="D23" s="6"/>
      <c r="E23" s="6"/>
      <c r="F23" s="6"/>
      <c r="G23" s="6"/>
    </row>
    <row r="24" spans="1:10" hidden="1">
      <c r="A24" s="6"/>
      <c r="B24" s="6"/>
      <c r="C24" s="6"/>
      <c r="D24" s="6"/>
      <c r="E24" s="6"/>
      <c r="F24" s="6"/>
      <c r="G24" s="6"/>
    </row>
    <row r="25" spans="1:10" hidden="1">
      <c r="A25" s="6"/>
      <c r="B25" s="6"/>
      <c r="C25" s="6"/>
      <c r="D25" s="6"/>
      <c r="E25" s="6"/>
      <c r="F25" s="6"/>
      <c r="G25" s="6"/>
    </row>
    <row r="33" ht="15" hidden="1" thickTop="1"/>
    <row r="1048550" ht="15" hidden="1" thickTop="1"/>
    <row r="1048561" ht="15" thickTop="1"/>
    <row r="1048566" ht="8.25" hidden="1" customHeight="1" thickTop="1"/>
    <row r="1048567" ht="0.75" hidden="1" customHeight="1"/>
  </sheetData>
  <mergeCells count="13">
    <mergeCell ref="C20:F20"/>
    <mergeCell ref="C14:F14"/>
    <mergeCell ref="C15:F15"/>
    <mergeCell ref="C16:F16"/>
    <mergeCell ref="C17:F17"/>
    <mergeCell ref="C18:F18"/>
    <mergeCell ref="C19:F19"/>
    <mergeCell ref="B7:F8"/>
    <mergeCell ref="B4:F4"/>
    <mergeCell ref="B3:F3"/>
    <mergeCell ref="B6:F6"/>
    <mergeCell ref="B11:F11"/>
    <mergeCell ref="B10:F10"/>
  </mergeCells>
  <pageMargins left="0.7" right="0.7" top="0.75" bottom="0.75" header="0.3" footer="0.3"/>
  <pageSetup paperSize="9" scale="48" fitToHeight="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CH80"/>
  <sheetViews>
    <sheetView showGridLines="0" topLeftCell="A34" zoomScale="55" zoomScaleNormal="85" workbookViewId="0">
      <selection activeCell="E46" sqref="E46:F46"/>
    </sheetView>
  </sheetViews>
  <sheetFormatPr baseColWidth="10" defaultColWidth="0" defaultRowHeight="14.5"/>
  <cols>
    <col min="1" max="1" width="10.54296875" style="142" customWidth="1"/>
    <col min="2" max="2" width="33.54296875" style="142" bestFit="1" customWidth="1"/>
    <col min="3" max="3" width="16.54296875" style="142" customWidth="1"/>
    <col min="4" max="4" width="33.453125" style="142" customWidth="1"/>
    <col min="5" max="5" width="31.54296875" style="142" customWidth="1"/>
    <col min="6" max="6" width="30.54296875" style="142" customWidth="1"/>
    <col min="7" max="7" width="26.54296875" style="142" customWidth="1"/>
    <col min="8" max="8" width="33.453125" style="142" customWidth="1"/>
    <col min="9" max="9" width="74.453125" style="142" customWidth="1"/>
    <col min="10" max="10" width="10.54296875" style="142" customWidth="1"/>
    <col min="11" max="11" width="8.54296875" style="142" hidden="1" customWidth="1"/>
    <col min="12" max="12" width="6.453125" style="142" hidden="1" customWidth="1"/>
    <col min="13" max="16" width="8.54296875" style="142" hidden="1" customWidth="1"/>
    <col min="17" max="86" width="0" style="142" hidden="1" customWidth="1"/>
    <col min="87" max="16384" width="8.54296875" style="142" hidden="1"/>
  </cols>
  <sheetData>
    <row r="1" spans="1:16" ht="50.15" customHeight="1" thickBot="1">
      <c r="A1" s="141"/>
      <c r="B1" s="141"/>
      <c r="C1" s="141"/>
      <c r="D1" s="141"/>
      <c r="E1" s="141"/>
      <c r="F1" s="141"/>
      <c r="G1" s="141"/>
      <c r="H1" s="141"/>
      <c r="I1" s="141"/>
      <c r="J1" s="141"/>
    </row>
    <row r="2" spans="1:16" ht="40.4" customHeight="1" thickTop="1">
      <c r="A2" s="141"/>
      <c r="B2" s="327" t="s">
        <v>25</v>
      </c>
      <c r="C2" s="328"/>
      <c r="D2" s="328"/>
      <c r="E2" s="328"/>
      <c r="F2" s="328"/>
      <c r="G2" s="328"/>
      <c r="H2" s="328"/>
      <c r="I2" s="329"/>
      <c r="J2" s="141"/>
      <c r="L2" s="143"/>
      <c r="M2" s="143"/>
      <c r="N2" s="143"/>
      <c r="O2" s="143"/>
      <c r="P2" s="143"/>
    </row>
    <row r="3" spans="1:16" ht="28.5" customHeight="1">
      <c r="A3" s="141"/>
      <c r="B3" s="41" t="s">
        <v>26</v>
      </c>
      <c r="C3" s="316" t="s">
        <v>1631</v>
      </c>
      <c r="D3" s="330"/>
      <c r="E3" s="330"/>
      <c r="F3" s="330"/>
      <c r="G3" s="330"/>
      <c r="H3" s="330"/>
      <c r="I3" s="331"/>
      <c r="J3" s="141"/>
      <c r="L3" s="143"/>
      <c r="M3" s="143"/>
      <c r="N3" s="143"/>
      <c r="O3" s="143"/>
      <c r="P3" s="143"/>
    </row>
    <row r="4" spans="1:16" ht="40.4" customHeight="1">
      <c r="A4" s="141"/>
      <c r="B4" s="41" t="s">
        <v>27</v>
      </c>
      <c r="C4" s="321"/>
      <c r="D4" s="322"/>
      <c r="E4" s="322"/>
      <c r="F4" s="322"/>
      <c r="G4" s="322"/>
      <c r="H4" s="322"/>
      <c r="I4" s="323"/>
      <c r="J4" s="141"/>
      <c r="L4" s="143"/>
      <c r="M4" s="143"/>
      <c r="N4" s="143"/>
      <c r="O4" s="143"/>
      <c r="P4" s="143"/>
    </row>
    <row r="5" spans="1:16" ht="40.4" customHeight="1">
      <c r="A5" s="141"/>
      <c r="B5" s="41" t="s">
        <v>28</v>
      </c>
      <c r="C5" s="307"/>
      <c r="D5" s="308"/>
      <c r="E5" s="308"/>
      <c r="F5" s="308"/>
      <c r="G5" s="308"/>
      <c r="H5" s="308"/>
      <c r="I5" s="332"/>
      <c r="J5" s="141"/>
      <c r="L5" s="143"/>
      <c r="M5" s="143"/>
      <c r="N5" s="143"/>
      <c r="O5" s="143"/>
      <c r="P5" s="143"/>
    </row>
    <row r="6" spans="1:16" ht="28.5" customHeight="1">
      <c r="A6" s="141"/>
      <c r="B6" s="41" t="s">
        <v>29</v>
      </c>
      <c r="C6" s="307" t="s">
        <v>1628</v>
      </c>
      <c r="D6" s="308"/>
      <c r="E6" s="335" t="s">
        <v>30</v>
      </c>
      <c r="F6" s="338" t="s">
        <v>70</v>
      </c>
      <c r="G6" s="339"/>
      <c r="H6" s="4" t="s">
        <v>31</v>
      </c>
      <c r="I6" s="42" t="s">
        <v>1634</v>
      </c>
      <c r="J6" s="141"/>
      <c r="L6" s="143"/>
      <c r="M6" s="143"/>
      <c r="N6" s="143"/>
      <c r="O6" s="143"/>
      <c r="P6" s="143"/>
    </row>
    <row r="7" spans="1:16" ht="30" customHeight="1">
      <c r="A7" s="141"/>
      <c r="B7" s="41" t="s">
        <v>32</v>
      </c>
      <c r="C7" s="307" t="s">
        <v>1632</v>
      </c>
      <c r="D7" s="308"/>
      <c r="E7" s="336"/>
      <c r="F7" s="340"/>
      <c r="G7" s="341"/>
      <c r="H7" s="4" t="s">
        <v>33</v>
      </c>
      <c r="I7" s="42" t="s">
        <v>1635</v>
      </c>
      <c r="J7" s="141"/>
      <c r="L7" s="143"/>
      <c r="M7" s="143"/>
      <c r="N7" s="143"/>
      <c r="O7" s="143"/>
      <c r="P7" s="143"/>
    </row>
    <row r="8" spans="1:16" ht="37.5" customHeight="1">
      <c r="A8" s="141"/>
      <c r="B8" s="41" t="s">
        <v>34</v>
      </c>
      <c r="C8" s="307" t="s">
        <v>1633</v>
      </c>
      <c r="D8" s="308"/>
      <c r="E8" s="337"/>
      <c r="F8" s="342"/>
      <c r="G8" s="343"/>
      <c r="H8" s="4" t="s">
        <v>35</v>
      </c>
      <c r="I8" s="42"/>
      <c r="J8" s="141"/>
      <c r="L8" s="143"/>
      <c r="M8" s="143"/>
      <c r="N8" s="143"/>
      <c r="O8" s="143"/>
      <c r="P8" s="143"/>
    </row>
    <row r="9" spans="1:16" ht="25.5" customHeight="1">
      <c r="A9" s="141"/>
      <c r="B9" s="41" t="s">
        <v>36</v>
      </c>
      <c r="C9" s="307" t="s">
        <v>1629</v>
      </c>
      <c r="D9" s="308"/>
      <c r="E9" s="335" t="s">
        <v>37</v>
      </c>
      <c r="F9" s="338" t="s">
        <v>70</v>
      </c>
      <c r="G9" s="339"/>
      <c r="H9" s="4" t="s">
        <v>38</v>
      </c>
      <c r="I9" s="42"/>
      <c r="J9" s="141"/>
      <c r="L9" s="143"/>
      <c r="M9" s="143"/>
      <c r="N9" s="143"/>
      <c r="O9" s="143"/>
      <c r="P9" s="143"/>
    </row>
    <row r="10" spans="1:16" ht="28.5" customHeight="1">
      <c r="A10" s="141"/>
      <c r="B10" s="41" t="s">
        <v>39</v>
      </c>
      <c r="C10" s="307" t="s">
        <v>1630</v>
      </c>
      <c r="D10" s="308"/>
      <c r="E10" s="336"/>
      <c r="F10" s="340"/>
      <c r="G10" s="341"/>
      <c r="H10" s="4" t="s">
        <v>40</v>
      </c>
      <c r="I10" s="42" t="s">
        <v>1636</v>
      </c>
      <c r="J10" s="141"/>
      <c r="L10" s="143"/>
      <c r="M10" s="143"/>
      <c r="N10" s="143"/>
      <c r="O10" s="143"/>
      <c r="P10" s="143"/>
    </row>
    <row r="11" spans="1:16" ht="25.5" customHeight="1">
      <c r="A11" s="141"/>
      <c r="B11" s="41" t="s">
        <v>41</v>
      </c>
      <c r="C11" s="307" t="s">
        <v>1620</v>
      </c>
      <c r="D11" s="308"/>
      <c r="E11" s="337"/>
      <c r="F11" s="342"/>
      <c r="G11" s="343"/>
      <c r="H11" s="4" t="s">
        <v>42</v>
      </c>
      <c r="I11" s="42" t="s">
        <v>1637</v>
      </c>
      <c r="J11" s="141"/>
      <c r="L11" s="143"/>
      <c r="M11" s="143"/>
      <c r="N11" s="143"/>
      <c r="O11" s="143"/>
      <c r="P11" s="143"/>
    </row>
    <row r="12" spans="1:16" ht="41.15" customHeight="1">
      <c r="A12" s="141"/>
      <c r="B12" s="41" t="s">
        <v>43</v>
      </c>
      <c r="C12" s="307" t="s">
        <v>1621</v>
      </c>
      <c r="D12" s="308"/>
      <c r="E12" s="335" t="s">
        <v>44</v>
      </c>
      <c r="F12" s="338" t="s">
        <v>70</v>
      </c>
      <c r="G12" s="339"/>
      <c r="H12" s="4" t="s">
        <v>45</v>
      </c>
      <c r="I12" s="42"/>
      <c r="J12" s="141"/>
      <c r="L12" s="143"/>
      <c r="M12" s="143"/>
      <c r="N12" s="143"/>
      <c r="O12" s="143"/>
      <c r="P12" s="143"/>
    </row>
    <row r="13" spans="1:16" ht="36" customHeight="1">
      <c r="A13" s="141"/>
      <c r="B13" s="41" t="s">
        <v>46</v>
      </c>
      <c r="C13" s="307" t="s">
        <v>50</v>
      </c>
      <c r="D13" s="308"/>
      <c r="E13" s="336"/>
      <c r="F13" s="340"/>
      <c r="G13" s="341"/>
      <c r="H13" s="4" t="s">
        <v>47</v>
      </c>
      <c r="I13" s="43"/>
      <c r="J13" s="141"/>
      <c r="L13" s="143"/>
      <c r="M13" s="143"/>
      <c r="N13" s="143"/>
      <c r="O13" s="143"/>
      <c r="P13" s="143"/>
    </row>
    <row r="14" spans="1:16" ht="32.9" customHeight="1">
      <c r="A14" s="141"/>
      <c r="B14" s="355" t="s">
        <v>48</v>
      </c>
      <c r="C14" s="357" t="s">
        <v>50</v>
      </c>
      <c r="D14" s="358"/>
      <c r="E14" s="335" t="s">
        <v>49</v>
      </c>
      <c r="F14" s="338" t="s">
        <v>50</v>
      </c>
      <c r="G14" s="339"/>
      <c r="H14" s="347" t="s">
        <v>51</v>
      </c>
      <c r="I14" s="42"/>
      <c r="J14" s="141"/>
      <c r="L14" s="143"/>
      <c r="M14" s="143"/>
      <c r="N14" s="143"/>
      <c r="O14" s="143"/>
      <c r="P14" s="143"/>
    </row>
    <row r="15" spans="1:16" ht="32.9" customHeight="1" thickBot="1">
      <c r="A15" s="141"/>
      <c r="B15" s="356"/>
      <c r="C15" s="359"/>
      <c r="D15" s="360"/>
      <c r="E15" s="354"/>
      <c r="F15" s="361"/>
      <c r="G15" s="362"/>
      <c r="H15" s="348"/>
      <c r="I15" s="258"/>
      <c r="J15" s="141"/>
      <c r="L15" s="143"/>
      <c r="M15" s="143"/>
      <c r="N15" s="143"/>
      <c r="O15" s="143"/>
      <c r="P15" s="143"/>
    </row>
    <row r="16" spans="1:16" ht="50.15" customHeight="1" thickBot="1">
      <c r="A16" s="141"/>
      <c r="B16" s="144">
        <f>IF(C8="Global",4,IF(C8="Region",3,IF(C8="Local market",2,0)))</f>
        <v>2</v>
      </c>
      <c r="C16" s="141">
        <f>IF(C10="Sephora - On premises",1,IF(C10="Sephora - Cloud",2,IF(C10="External - Cloud SaaS",3,IF(C10="External - Cloud IaaS/PaaS",4,IF(C10="External - Private SaaS",5,IF(C10="External - Private IaaS/PaaS",6,0))))))</f>
        <v>3</v>
      </c>
      <c r="D16" s="145">
        <f>IF(C11="Internet",4,IF(C11="Cloud / SaaS",3,IF(C11="Standalone",3,IF(C11="Intranet - On premises",2,0))))</f>
        <v>3</v>
      </c>
      <c r="E16" s="145"/>
      <c r="F16" s="145"/>
      <c r="G16" s="145"/>
      <c r="H16" s="145"/>
      <c r="I16" s="145"/>
      <c r="J16" s="141"/>
      <c r="L16" s="143"/>
      <c r="M16" s="143"/>
      <c r="N16" s="143"/>
      <c r="O16" s="143"/>
      <c r="P16" s="143"/>
    </row>
    <row r="17" spans="1:16" ht="40.4" customHeight="1" thickTop="1">
      <c r="A17" s="141"/>
      <c r="B17" s="327" t="s">
        <v>52</v>
      </c>
      <c r="C17" s="328"/>
      <c r="D17" s="328"/>
      <c r="E17" s="328"/>
      <c r="F17" s="328"/>
      <c r="G17" s="328"/>
      <c r="H17" s="328"/>
      <c r="I17" s="329"/>
      <c r="J17" s="141"/>
      <c r="L17" s="143"/>
      <c r="M17" s="143"/>
      <c r="N17" s="143"/>
      <c r="O17" s="143"/>
      <c r="P17" s="143"/>
    </row>
    <row r="18" spans="1:16" ht="30" customHeight="1">
      <c r="A18" s="141"/>
      <c r="B18" s="128" t="s">
        <v>53</v>
      </c>
      <c r="C18" s="129" t="s">
        <v>54</v>
      </c>
      <c r="D18" s="129" t="s">
        <v>55</v>
      </c>
      <c r="E18" s="140" t="s">
        <v>39</v>
      </c>
      <c r="F18" s="344" t="s">
        <v>56</v>
      </c>
      <c r="G18" s="345"/>
      <c r="H18" s="345"/>
      <c r="I18" s="346"/>
      <c r="J18" s="141"/>
      <c r="L18" s="143"/>
      <c r="M18" s="143"/>
      <c r="N18" s="143"/>
      <c r="O18" s="143"/>
      <c r="P18" s="143"/>
    </row>
    <row r="19" spans="1:16" ht="20.149999999999999" customHeight="1">
      <c r="A19" s="141"/>
      <c r="B19" s="146"/>
      <c r="C19" s="147"/>
      <c r="D19" s="147"/>
      <c r="E19" s="147"/>
      <c r="F19" s="308"/>
      <c r="G19" s="308"/>
      <c r="H19" s="308"/>
      <c r="I19" s="332"/>
      <c r="J19" s="141"/>
      <c r="L19" s="143"/>
      <c r="M19" s="143"/>
      <c r="N19" s="143"/>
      <c r="O19" s="143"/>
      <c r="P19" s="143"/>
    </row>
    <row r="20" spans="1:16" ht="20.149999999999999" customHeight="1">
      <c r="A20" s="141"/>
      <c r="B20" s="146"/>
      <c r="C20" s="147"/>
      <c r="D20" s="147"/>
      <c r="E20" s="147"/>
      <c r="F20" s="308"/>
      <c r="G20" s="308"/>
      <c r="H20" s="308"/>
      <c r="I20" s="332"/>
      <c r="J20" s="141"/>
      <c r="L20" s="143"/>
      <c r="M20" s="143"/>
      <c r="N20" s="143"/>
      <c r="O20" s="143"/>
      <c r="P20" s="143"/>
    </row>
    <row r="21" spans="1:16" ht="20.149999999999999" customHeight="1">
      <c r="A21" s="141"/>
      <c r="B21" s="146"/>
      <c r="C21" s="147"/>
      <c r="D21" s="147"/>
      <c r="E21" s="147"/>
      <c r="F21" s="308"/>
      <c r="G21" s="308"/>
      <c r="H21" s="308"/>
      <c r="I21" s="332"/>
      <c r="J21" s="141"/>
      <c r="L21" s="143"/>
      <c r="M21" s="143"/>
      <c r="N21" s="143"/>
      <c r="O21" s="143"/>
      <c r="P21" s="143"/>
    </row>
    <row r="22" spans="1:16" ht="20.149999999999999" customHeight="1">
      <c r="A22" s="141"/>
      <c r="B22" s="146"/>
      <c r="C22" s="147"/>
      <c r="D22" s="147"/>
      <c r="E22" s="147"/>
      <c r="F22" s="308"/>
      <c r="G22" s="308"/>
      <c r="H22" s="308"/>
      <c r="I22" s="332"/>
      <c r="J22" s="141"/>
      <c r="L22" s="143"/>
      <c r="M22" s="143"/>
      <c r="N22" s="143"/>
      <c r="O22" s="143"/>
      <c r="P22" s="143"/>
    </row>
    <row r="23" spans="1:16" ht="20.149999999999999" customHeight="1" thickBot="1">
      <c r="A23" s="141"/>
      <c r="B23" s="148"/>
      <c r="C23" s="149"/>
      <c r="D23" s="149"/>
      <c r="E23" s="149"/>
      <c r="F23" s="333"/>
      <c r="G23" s="333"/>
      <c r="H23" s="333"/>
      <c r="I23" s="334"/>
      <c r="J23" s="141"/>
      <c r="L23" s="143"/>
      <c r="M23" s="143"/>
      <c r="N23" s="143"/>
      <c r="O23" s="143"/>
      <c r="P23" s="143"/>
    </row>
    <row r="24" spans="1:16" ht="36" customHeight="1" thickTop="1" thickBot="1">
      <c r="A24" s="141"/>
      <c r="B24" s="141"/>
      <c r="C24" s="141"/>
      <c r="D24" s="141"/>
      <c r="E24" s="141"/>
      <c r="F24" s="141"/>
      <c r="G24" s="141"/>
      <c r="H24" s="141"/>
      <c r="I24" s="141"/>
      <c r="J24" s="141"/>
      <c r="L24" s="143"/>
      <c r="M24" s="143"/>
      <c r="N24" s="143"/>
      <c r="O24" s="143"/>
      <c r="P24" s="143"/>
    </row>
    <row r="25" spans="1:16" ht="40.4" customHeight="1" thickTop="1">
      <c r="A25" s="141"/>
      <c r="B25" s="327" t="s">
        <v>57</v>
      </c>
      <c r="C25" s="328"/>
      <c r="D25" s="328"/>
      <c r="E25" s="328"/>
      <c r="F25" s="328"/>
      <c r="G25" s="328"/>
      <c r="H25" s="328"/>
      <c r="I25" s="329"/>
      <c r="J25" s="141"/>
      <c r="L25" s="143"/>
      <c r="M25" s="143"/>
      <c r="N25" s="143"/>
      <c r="O25" s="143"/>
      <c r="P25" s="143"/>
    </row>
    <row r="26" spans="1:16" ht="30" customHeight="1">
      <c r="A26" s="141"/>
      <c r="B26" s="41" t="s">
        <v>58</v>
      </c>
      <c r="C26" s="4" t="s">
        <v>59</v>
      </c>
      <c r="D26" s="4" t="s">
        <v>60</v>
      </c>
      <c r="E26" s="4" t="s">
        <v>61</v>
      </c>
      <c r="F26" s="4" t="s">
        <v>62</v>
      </c>
      <c r="G26" s="4" t="s">
        <v>63</v>
      </c>
      <c r="H26" s="238" t="s">
        <v>39</v>
      </c>
      <c r="I26" s="44" t="s">
        <v>56</v>
      </c>
      <c r="J26" s="141"/>
      <c r="L26" s="143"/>
      <c r="M26" s="143"/>
      <c r="N26" s="143"/>
      <c r="O26" s="143"/>
      <c r="P26" s="143"/>
    </row>
    <row r="27" spans="1:16" ht="20.149999999999999" customHeight="1">
      <c r="A27" s="141"/>
      <c r="B27" s="146"/>
      <c r="C27" s="150"/>
      <c r="D27" s="151"/>
      <c r="E27" s="151"/>
      <c r="F27" s="151"/>
      <c r="G27" s="151"/>
      <c r="H27" s="150"/>
      <c r="I27" s="42"/>
      <c r="J27" s="141"/>
      <c r="L27" s="143"/>
      <c r="M27" s="143"/>
      <c r="N27" s="143"/>
      <c r="O27" s="143"/>
      <c r="P27" s="143"/>
    </row>
    <row r="28" spans="1:16" ht="20.149999999999999" customHeight="1">
      <c r="A28" s="141"/>
      <c r="B28" s="146"/>
      <c r="C28" s="150"/>
      <c r="D28" s="151"/>
      <c r="E28" s="151"/>
      <c r="F28" s="151"/>
      <c r="G28" s="151"/>
      <c r="H28" s="150"/>
      <c r="I28" s="42"/>
      <c r="J28" s="141"/>
      <c r="L28" s="143"/>
      <c r="M28" s="143"/>
      <c r="N28" s="143"/>
      <c r="O28" s="143"/>
      <c r="P28" s="143"/>
    </row>
    <row r="29" spans="1:16" ht="20.149999999999999" customHeight="1">
      <c r="A29" s="141"/>
      <c r="B29" s="146"/>
      <c r="C29" s="150"/>
      <c r="D29" s="151"/>
      <c r="E29" s="151"/>
      <c r="F29" s="151"/>
      <c r="G29" s="151"/>
      <c r="H29" s="150"/>
      <c r="I29" s="42"/>
      <c r="J29" s="141"/>
      <c r="L29" s="143"/>
      <c r="M29" s="143"/>
      <c r="N29" s="143"/>
      <c r="O29" s="143"/>
      <c r="P29" s="143"/>
    </row>
    <row r="30" spans="1:16" ht="20.149999999999999" customHeight="1">
      <c r="A30" s="141"/>
      <c r="B30" s="146"/>
      <c r="C30" s="150"/>
      <c r="D30" s="151"/>
      <c r="E30" s="151"/>
      <c r="F30" s="151"/>
      <c r="G30" s="151"/>
      <c r="H30" s="150"/>
      <c r="I30" s="42"/>
      <c r="J30" s="141"/>
      <c r="L30" s="143"/>
      <c r="M30" s="143"/>
      <c r="N30" s="143"/>
      <c r="O30" s="143"/>
      <c r="P30" s="143"/>
    </row>
    <row r="31" spans="1:16" ht="20.149999999999999" customHeight="1" thickBot="1">
      <c r="A31" s="141"/>
      <c r="B31" s="148"/>
      <c r="C31" s="152"/>
      <c r="D31" s="153"/>
      <c r="E31" s="153"/>
      <c r="F31" s="153"/>
      <c r="G31" s="153"/>
      <c r="H31" s="152"/>
      <c r="I31" s="174"/>
      <c r="J31" s="141"/>
      <c r="L31" s="143"/>
      <c r="M31" s="143"/>
      <c r="N31" s="143"/>
      <c r="O31" s="143"/>
      <c r="P31" s="143"/>
    </row>
    <row r="32" spans="1:16" ht="50.15" customHeight="1" thickTop="1" thickBot="1">
      <c r="A32" s="141"/>
      <c r="B32" s="154"/>
      <c r="C32" s="154"/>
      <c r="D32" s="154"/>
      <c r="E32" s="154"/>
      <c r="F32" s="154"/>
      <c r="G32" s="154"/>
      <c r="H32" s="155"/>
      <c r="I32" s="155"/>
      <c r="J32" s="141"/>
      <c r="L32" s="143"/>
      <c r="M32" s="143"/>
      <c r="N32" s="143"/>
      <c r="O32" s="143"/>
      <c r="P32" s="143"/>
    </row>
    <row r="33" spans="1:16" ht="40.4" customHeight="1" thickTop="1">
      <c r="A33" s="141"/>
      <c r="B33" s="327" t="s">
        <v>64</v>
      </c>
      <c r="C33" s="328"/>
      <c r="D33" s="328"/>
      <c r="E33" s="328"/>
      <c r="F33" s="328"/>
      <c r="G33" s="328"/>
      <c r="H33" s="328"/>
      <c r="I33" s="329"/>
      <c r="J33" s="141"/>
      <c r="L33" s="143"/>
      <c r="M33" s="143"/>
      <c r="N33" s="143"/>
      <c r="O33" s="143"/>
      <c r="P33" s="143"/>
    </row>
    <row r="34" spans="1:16" ht="56.9" customHeight="1">
      <c r="A34" s="141"/>
      <c r="B34" s="353" t="s">
        <v>65</v>
      </c>
      <c r="C34" s="350"/>
      <c r="D34" s="350"/>
      <c r="E34" s="350"/>
      <c r="F34" s="350"/>
      <c r="G34" s="350"/>
      <c r="H34" s="350"/>
      <c r="I34" s="351"/>
      <c r="J34" s="141"/>
    </row>
    <row r="35" spans="1:16" ht="58.4" customHeight="1">
      <c r="A35" s="141"/>
      <c r="B35" s="353" t="s">
        <v>66</v>
      </c>
      <c r="C35" s="350"/>
      <c r="D35" s="352"/>
      <c r="E35" s="349" t="s">
        <v>67</v>
      </c>
      <c r="F35" s="352"/>
      <c r="G35" s="349" t="s">
        <v>68</v>
      </c>
      <c r="H35" s="350"/>
      <c r="I35" s="351"/>
      <c r="J35" s="141"/>
    </row>
    <row r="36" spans="1:16" ht="168.75" customHeight="1">
      <c r="A36" s="141"/>
      <c r="B36" s="318" t="s">
        <v>69</v>
      </c>
      <c r="C36" s="319"/>
      <c r="D36" s="320"/>
      <c r="E36" s="316" t="s">
        <v>70</v>
      </c>
      <c r="F36" s="317"/>
      <c r="G36" s="321"/>
      <c r="H36" s="322"/>
      <c r="I36" s="323"/>
      <c r="J36" s="141"/>
    </row>
    <row r="37" spans="1:16" ht="218.25" customHeight="1">
      <c r="A37" s="141"/>
      <c r="B37" s="318" t="s">
        <v>71</v>
      </c>
      <c r="C37" s="319"/>
      <c r="D37" s="320"/>
      <c r="E37" s="316" t="s">
        <v>70</v>
      </c>
      <c r="F37" s="317"/>
      <c r="G37" s="321"/>
      <c r="H37" s="322"/>
      <c r="I37" s="323"/>
      <c r="J37" s="141"/>
    </row>
    <row r="38" spans="1:16" ht="166.5" customHeight="1">
      <c r="A38" s="141"/>
      <c r="B38" s="318" t="s">
        <v>72</v>
      </c>
      <c r="C38" s="319"/>
      <c r="D38" s="320"/>
      <c r="E38" s="316" t="s">
        <v>70</v>
      </c>
      <c r="F38" s="317"/>
      <c r="G38" s="321"/>
      <c r="H38" s="322"/>
      <c r="I38" s="323"/>
      <c r="J38" s="141"/>
    </row>
    <row r="39" spans="1:16" ht="70.5" customHeight="1">
      <c r="A39" s="141"/>
      <c r="B39" s="318" t="s">
        <v>73</v>
      </c>
      <c r="C39" s="319"/>
      <c r="D39" s="320"/>
      <c r="E39" s="316" t="s">
        <v>70</v>
      </c>
      <c r="F39" s="317"/>
      <c r="G39" s="321"/>
      <c r="H39" s="322"/>
      <c r="I39" s="323"/>
      <c r="J39" s="141"/>
    </row>
    <row r="40" spans="1:16" ht="68.25" customHeight="1">
      <c r="A40" s="141"/>
      <c r="B40" s="318" t="s">
        <v>74</v>
      </c>
      <c r="C40" s="319"/>
      <c r="D40" s="320"/>
      <c r="E40" s="316" t="s">
        <v>70</v>
      </c>
      <c r="F40" s="317"/>
      <c r="G40" s="321"/>
      <c r="H40" s="322"/>
      <c r="I40" s="323"/>
      <c r="J40" s="141"/>
    </row>
    <row r="41" spans="1:16" ht="70.5" customHeight="1">
      <c r="A41" s="141"/>
      <c r="B41" s="318" t="s">
        <v>75</v>
      </c>
      <c r="C41" s="319"/>
      <c r="D41" s="320"/>
      <c r="E41" s="316" t="s">
        <v>70</v>
      </c>
      <c r="F41" s="317"/>
      <c r="G41" s="321"/>
      <c r="H41" s="322"/>
      <c r="I41" s="323"/>
      <c r="J41" s="141"/>
    </row>
    <row r="42" spans="1:16" ht="52.4" customHeight="1">
      <c r="A42" s="141"/>
      <c r="B42" s="318" t="s">
        <v>76</v>
      </c>
      <c r="C42" s="319"/>
      <c r="D42" s="320"/>
      <c r="E42" s="316" t="s">
        <v>50</v>
      </c>
      <c r="F42" s="317"/>
      <c r="G42" s="321"/>
      <c r="H42" s="322"/>
      <c r="I42" s="323"/>
      <c r="J42" s="141"/>
    </row>
    <row r="43" spans="1:16" ht="58.4" customHeight="1">
      <c r="A43" s="141"/>
      <c r="B43" s="318" t="s">
        <v>77</v>
      </c>
      <c r="C43" s="319"/>
      <c r="D43" s="320"/>
      <c r="E43" s="316" t="s">
        <v>50</v>
      </c>
      <c r="F43" s="317"/>
      <c r="G43" s="321"/>
      <c r="H43" s="322"/>
      <c r="I43" s="323"/>
      <c r="J43" s="141"/>
    </row>
    <row r="44" spans="1:16" ht="106.5" customHeight="1">
      <c r="A44" s="141"/>
      <c r="B44" s="318" t="s">
        <v>78</v>
      </c>
      <c r="C44" s="319"/>
      <c r="D44" s="320"/>
      <c r="E44" s="316" t="s">
        <v>70</v>
      </c>
      <c r="F44" s="317"/>
      <c r="G44" s="321"/>
      <c r="H44" s="322"/>
      <c r="I44" s="323"/>
      <c r="J44" s="141"/>
    </row>
    <row r="45" spans="1:16" ht="72.75" customHeight="1">
      <c r="A45" s="141"/>
      <c r="B45" s="318" t="s">
        <v>79</v>
      </c>
      <c r="C45" s="319"/>
      <c r="D45" s="320"/>
      <c r="E45" s="316" t="s">
        <v>70</v>
      </c>
      <c r="F45" s="317"/>
      <c r="G45" s="321"/>
      <c r="H45" s="322"/>
      <c r="I45" s="323"/>
      <c r="J45" s="141"/>
    </row>
    <row r="46" spans="1:16" ht="60" customHeight="1" thickBot="1">
      <c r="A46" s="141"/>
      <c r="B46" s="312" t="s">
        <v>80</v>
      </c>
      <c r="C46" s="313"/>
      <c r="D46" s="314"/>
      <c r="E46" s="309" t="s">
        <v>70</v>
      </c>
      <c r="F46" s="310"/>
      <c r="G46" s="324"/>
      <c r="H46" s="325"/>
      <c r="I46" s="326"/>
      <c r="J46" s="141"/>
    </row>
    <row r="47" spans="1:16" ht="51.65" customHeight="1" thickTop="1">
      <c r="A47" s="141"/>
      <c r="B47" s="141"/>
      <c r="C47" s="141"/>
      <c r="D47" s="141"/>
      <c r="E47" s="257"/>
      <c r="F47" s="257"/>
      <c r="G47" s="141"/>
      <c r="H47" s="141"/>
      <c r="I47" s="141"/>
      <c r="J47" s="141"/>
    </row>
    <row r="48" spans="1:16" hidden="1">
      <c r="A48" s="156"/>
      <c r="B48" s="156"/>
      <c r="C48" s="156"/>
      <c r="D48" s="156"/>
      <c r="E48" s="156"/>
      <c r="F48" s="156"/>
      <c r="G48" s="156"/>
      <c r="H48" s="156"/>
      <c r="I48" s="156"/>
      <c r="J48" s="156"/>
    </row>
    <row r="49" spans="1:10" hidden="1">
      <c r="A49" s="156"/>
      <c r="B49" s="156"/>
      <c r="C49" s="156"/>
      <c r="D49" s="156"/>
      <c r="E49" s="156"/>
      <c r="F49" s="156"/>
      <c r="G49" s="156"/>
      <c r="H49" s="156"/>
      <c r="I49" s="156"/>
      <c r="J49" s="156"/>
    </row>
    <row r="50" spans="1:10" hidden="1">
      <c r="A50" s="157"/>
      <c r="B50" s="157"/>
      <c r="C50" s="157"/>
      <c r="D50" s="157"/>
      <c r="E50" s="157"/>
      <c r="F50" s="157"/>
      <c r="G50" s="157"/>
      <c r="H50" s="157"/>
      <c r="I50" s="156"/>
      <c r="J50" s="156"/>
    </row>
    <row r="51" spans="1:10" ht="67.400000000000006" hidden="1" customHeight="1">
      <c r="A51" s="158" t="s">
        <v>81</v>
      </c>
      <c r="B51" s="315" t="s">
        <v>82</v>
      </c>
      <c r="C51" s="315"/>
      <c r="D51" s="315"/>
      <c r="E51" s="315"/>
      <c r="F51" s="315"/>
      <c r="G51" s="158" t="b">
        <f>IF(AND(E46="No",E45="No",E44="No",E42="No",E41="No",E40="No",E37="No",G60="No",G64="No",E36="Yes without production access",OR('2 - Qualification'!F61="Low",'2 - Qualification'!F61="Medium"),'2 - Qualification'!F63="Not Required",'2 - Qualification'!J63="Not required"),TRUE,FALSE)</f>
        <v>0</v>
      </c>
      <c r="H51" s="159" t="str">
        <f>IF(G51=TRUE, "Z", "X")</f>
        <v>X</v>
      </c>
      <c r="I51" s="160"/>
      <c r="J51" s="156"/>
    </row>
    <row r="52" spans="1:10" s="156" customFormat="1" ht="97.4" hidden="1" customHeight="1">
      <c r="A52" s="161" t="s">
        <v>83</v>
      </c>
      <c r="B52" s="311" t="s">
        <v>84</v>
      </c>
      <c r="C52" s="311"/>
      <c r="D52" s="311"/>
      <c r="E52" s="311"/>
      <c r="F52" s="311"/>
      <c r="G52" s="73" t="str">
        <f>IF(E36="Yes with production access","Yes",IF(E36="Yes without production access","Yes",IF(E36="No","No",0)))</f>
        <v>No</v>
      </c>
      <c r="H52" s="159" t="str">
        <f>IF(G52= "Yes", "A", "X")</f>
        <v>X</v>
      </c>
    </row>
    <row r="53" spans="1:10" s="156" customFormat="1" ht="124.4" hidden="1" customHeight="1">
      <c r="A53" s="161" t="s">
        <v>85</v>
      </c>
      <c r="B53" s="311" t="s">
        <v>86</v>
      </c>
      <c r="C53" s="311"/>
      <c r="D53" s="311"/>
      <c r="E53" s="311"/>
      <c r="F53" s="311"/>
      <c r="G53" s="73" t="str">
        <f>IF(E37= "Yes", "Yes", "No")</f>
        <v>No</v>
      </c>
      <c r="H53" s="159" t="str">
        <f>IF(G53= "Yes", "B", "X")</f>
        <v>X</v>
      </c>
    </row>
    <row r="54" spans="1:10" s="156" customFormat="1" ht="101.15" hidden="1" customHeight="1">
      <c r="A54" s="161" t="s">
        <v>87</v>
      </c>
      <c r="B54" s="311" t="s">
        <v>88</v>
      </c>
      <c r="C54" s="311"/>
      <c r="D54" s="311"/>
      <c r="E54" s="311"/>
      <c r="F54" s="311"/>
      <c r="G54" s="73" t="str">
        <f>IF(E38= "Yes", "Yes", "No")</f>
        <v>No</v>
      </c>
      <c r="H54" s="159" t="str">
        <f>IF(G54= "Yes", "C", "X")</f>
        <v>X</v>
      </c>
      <c r="I54" s="162"/>
    </row>
    <row r="55" spans="1:10" s="156" customFormat="1" ht="54" hidden="1" customHeight="1">
      <c r="A55" s="161" t="s">
        <v>89</v>
      </c>
      <c r="B55" s="311" t="s">
        <v>74</v>
      </c>
      <c r="C55" s="311"/>
      <c r="D55" s="311"/>
      <c r="E55" s="311"/>
      <c r="F55" s="311"/>
      <c r="G55" s="73" t="str">
        <f t="shared" ref="G55:G59" si="0">IF(E40= "Yes", "Yes", "No")</f>
        <v>No</v>
      </c>
      <c r="H55" s="159" t="str">
        <f>IF(G55= "Yes", "D", "X")</f>
        <v>X</v>
      </c>
    </row>
    <row r="56" spans="1:10" s="156" customFormat="1" ht="45.65" hidden="1" customHeight="1">
      <c r="A56" s="161" t="s">
        <v>90</v>
      </c>
      <c r="B56" s="311" t="s">
        <v>75</v>
      </c>
      <c r="C56" s="311"/>
      <c r="D56" s="311"/>
      <c r="E56" s="311"/>
      <c r="F56" s="311"/>
      <c r="G56" s="73" t="str">
        <f t="shared" si="0"/>
        <v>No</v>
      </c>
      <c r="H56" s="159" t="str">
        <f>IF(G56= "Yes", "E", "X")</f>
        <v>X</v>
      </c>
    </row>
    <row r="57" spans="1:10" s="156" customFormat="1" ht="46.5" hidden="1" customHeight="1">
      <c r="A57" s="161" t="s">
        <v>91</v>
      </c>
      <c r="B57" s="311" t="s">
        <v>76</v>
      </c>
      <c r="C57" s="311"/>
      <c r="D57" s="311"/>
      <c r="E57" s="311"/>
      <c r="F57" s="311"/>
      <c r="G57" s="73" t="str">
        <f t="shared" si="0"/>
        <v>Yes</v>
      </c>
      <c r="H57" s="159" t="str">
        <f>IF(G57= "Yes", "F", "X")</f>
        <v>F</v>
      </c>
      <c r="I57" s="163"/>
    </row>
    <row r="58" spans="1:10" s="156" customFormat="1" ht="52.4" hidden="1" customHeight="1">
      <c r="A58" s="161" t="s">
        <v>92</v>
      </c>
      <c r="B58" s="311" t="s">
        <v>77</v>
      </c>
      <c r="C58" s="311"/>
      <c r="D58" s="311"/>
      <c r="E58" s="311"/>
      <c r="F58" s="311"/>
      <c r="G58" s="73" t="str">
        <f t="shared" si="0"/>
        <v>Yes</v>
      </c>
      <c r="H58" s="159" t="str">
        <f>IF(G58= "Yes", "G", "X")</f>
        <v>G</v>
      </c>
    </row>
    <row r="59" spans="1:10" s="156" customFormat="1" ht="85.5" hidden="1" customHeight="1">
      <c r="A59" s="161" t="s">
        <v>93</v>
      </c>
      <c r="B59" s="311" t="s">
        <v>94</v>
      </c>
      <c r="C59" s="311"/>
      <c r="D59" s="311"/>
      <c r="E59" s="311"/>
      <c r="F59" s="311"/>
      <c r="G59" s="73" t="str">
        <f t="shared" si="0"/>
        <v>No</v>
      </c>
      <c r="H59" s="159" t="str">
        <f>IF(G59= "Yes", "H", "X")</f>
        <v>X</v>
      </c>
    </row>
    <row r="60" spans="1:10" s="156" customFormat="1" ht="43.5" hidden="1" customHeight="1">
      <c r="A60" s="161" t="s">
        <v>95</v>
      </c>
      <c r="B60" s="311" t="s">
        <v>96</v>
      </c>
      <c r="C60" s="311"/>
      <c r="D60" s="311"/>
      <c r="E60" s="311"/>
      <c r="F60" s="311"/>
      <c r="G60" s="164" t="str">
        <f>IF(OR(COUNTIF('2 - Qualification'!C5:C12, "Yes"), E36="Yes with production access"), "Yes", "No")</f>
        <v>Yes</v>
      </c>
      <c r="H60" s="159" t="str">
        <f>IF(G60="Yes", "I", "X")</f>
        <v>I</v>
      </c>
      <c r="I60" s="165" t="s">
        <v>97</v>
      </c>
    </row>
    <row r="61" spans="1:10" s="156" customFormat="1" ht="45.65" hidden="1" customHeight="1">
      <c r="A61" s="161" t="s">
        <v>98</v>
      </c>
      <c r="B61" s="311" t="s">
        <v>99</v>
      </c>
      <c r="C61" s="311"/>
      <c r="D61" s="311"/>
      <c r="E61" s="311"/>
      <c r="F61" s="311"/>
      <c r="G61" s="73" t="str">
        <f>IF('2 - Qualification'!C15="Yes","Yes","No")</f>
        <v>No</v>
      </c>
      <c r="H61" s="159" t="str">
        <f>IF(G61="Yes", "J", "X")</f>
        <v>X</v>
      </c>
      <c r="I61" s="165" t="s">
        <v>97</v>
      </c>
    </row>
    <row r="62" spans="1:10" s="156" customFormat="1" ht="50.15" hidden="1" customHeight="1">
      <c r="A62" s="161" t="s">
        <v>100</v>
      </c>
      <c r="B62" s="311" t="s">
        <v>79</v>
      </c>
      <c r="C62" s="311"/>
      <c r="D62" s="311"/>
      <c r="E62" s="311"/>
      <c r="F62" s="311"/>
      <c r="G62" s="73" t="str">
        <f>IF(E45= "Yes", "Yes", "No")</f>
        <v>No</v>
      </c>
      <c r="H62" s="159" t="str">
        <f>IF(G62= "Yes", "K", "X")</f>
        <v>X</v>
      </c>
    </row>
    <row r="63" spans="1:10" s="156" customFormat="1" ht="50.15" hidden="1" customHeight="1">
      <c r="A63" s="161" t="s">
        <v>101</v>
      </c>
      <c r="B63" s="311" t="s">
        <v>80</v>
      </c>
      <c r="C63" s="311"/>
      <c r="D63" s="311"/>
      <c r="E63" s="311"/>
      <c r="F63" s="311"/>
      <c r="G63" s="73" t="str">
        <f>IF(E46= "Yes", "Yes", "No")</f>
        <v>No</v>
      </c>
      <c r="H63" s="159" t="str">
        <f>IF(G63= "Yes", "L", "X")</f>
        <v>X</v>
      </c>
    </row>
    <row r="64" spans="1:10" s="156" customFormat="1" ht="61.4" hidden="1" customHeight="1">
      <c r="A64" s="161" t="s">
        <v>102</v>
      </c>
      <c r="B64" s="311" t="s">
        <v>103</v>
      </c>
      <c r="C64" s="311"/>
      <c r="D64" s="311"/>
      <c r="E64" s="311"/>
      <c r="F64" s="311"/>
      <c r="G64" s="73" t="str">
        <f>IF(C13="Yes","Yes","No")</f>
        <v>Yes</v>
      </c>
      <c r="H64" s="159" t="str">
        <f>IF(G64= "Yes", "M", "X")</f>
        <v>M</v>
      </c>
      <c r="I64" s="165" t="s">
        <v>97</v>
      </c>
    </row>
    <row r="65" spans="1:10" hidden="1">
      <c r="A65" s="156"/>
      <c r="B65" s="156"/>
      <c r="C65" s="156"/>
      <c r="D65" s="156"/>
      <c r="E65" s="156"/>
      <c r="F65" s="156"/>
      <c r="G65" s="156"/>
      <c r="H65" s="156"/>
      <c r="I65" s="156"/>
      <c r="J65" s="156"/>
    </row>
    <row r="66" spans="1:10" hidden="1">
      <c r="A66" s="156"/>
      <c r="B66" s="156"/>
      <c r="C66" s="156"/>
      <c r="D66" s="156"/>
      <c r="E66" s="156"/>
      <c r="F66" s="156"/>
      <c r="G66" s="156"/>
      <c r="H66" s="156"/>
      <c r="I66" s="156"/>
      <c r="J66" s="156"/>
    </row>
    <row r="67" spans="1:10" hidden="1">
      <c r="A67" s="156"/>
      <c r="B67" s="156"/>
      <c r="C67" s="156"/>
      <c r="D67" s="156"/>
      <c r="E67" s="156"/>
      <c r="F67" s="156"/>
      <c r="G67" s="156"/>
      <c r="H67" s="156"/>
      <c r="I67" s="156"/>
      <c r="J67" s="156"/>
    </row>
    <row r="68" spans="1:10">
      <c r="A68" s="156"/>
      <c r="B68" s="156"/>
      <c r="C68" s="156"/>
      <c r="D68" s="156"/>
      <c r="E68" s="156"/>
      <c r="F68" s="156"/>
      <c r="G68" s="156"/>
      <c r="H68" s="156"/>
      <c r="I68" s="156"/>
      <c r="J68" s="156"/>
    </row>
    <row r="69" spans="1:10">
      <c r="A69" s="156"/>
      <c r="B69" s="156"/>
      <c r="C69" s="156"/>
      <c r="D69" s="156"/>
      <c r="E69" s="156"/>
      <c r="F69" s="156"/>
      <c r="G69" s="156"/>
      <c r="H69" s="156"/>
      <c r="I69" s="156"/>
      <c r="J69" s="156"/>
    </row>
    <row r="70" spans="1:10">
      <c r="A70" s="156"/>
      <c r="B70" s="156"/>
      <c r="C70" s="156"/>
      <c r="D70" s="156"/>
      <c r="E70" s="156"/>
      <c r="F70" s="156"/>
      <c r="G70" s="156"/>
      <c r="H70" s="156"/>
      <c r="I70" s="156"/>
      <c r="J70" s="156"/>
    </row>
    <row r="71" spans="1:10">
      <c r="A71" s="156"/>
      <c r="B71" s="156"/>
      <c r="C71" s="156"/>
      <c r="D71" s="156"/>
      <c r="E71" s="156"/>
      <c r="F71" s="156"/>
      <c r="G71" s="156"/>
      <c r="H71" s="156"/>
      <c r="I71" s="156"/>
      <c r="J71" s="156"/>
    </row>
    <row r="72" spans="1:10">
      <c r="A72" s="156"/>
      <c r="B72" s="156"/>
      <c r="C72" s="156"/>
      <c r="D72" s="156"/>
      <c r="E72" s="156"/>
      <c r="F72" s="156"/>
      <c r="G72" s="156"/>
      <c r="H72" s="156"/>
      <c r="I72" s="156"/>
      <c r="J72" s="156"/>
    </row>
    <row r="73" spans="1:10">
      <c r="A73" s="156"/>
      <c r="B73" s="156"/>
      <c r="C73" s="156"/>
      <c r="D73" s="156"/>
      <c r="E73" s="156"/>
      <c r="F73" s="156"/>
      <c r="G73" s="156"/>
      <c r="H73" s="156"/>
      <c r="I73" s="156"/>
      <c r="J73" s="156"/>
    </row>
    <row r="74" spans="1:10">
      <c r="A74" s="156"/>
      <c r="B74" s="156"/>
      <c r="C74" s="156"/>
      <c r="D74" s="156"/>
      <c r="E74" s="156"/>
      <c r="F74" s="156"/>
      <c r="G74" s="156"/>
      <c r="H74" s="156"/>
      <c r="I74" s="156"/>
      <c r="J74" s="156"/>
    </row>
    <row r="75" spans="1:10">
      <c r="A75" s="156"/>
      <c r="B75" s="156"/>
      <c r="C75" s="156"/>
      <c r="D75" s="156"/>
      <c r="E75" s="156"/>
      <c r="F75" s="156"/>
      <c r="G75" s="156"/>
      <c r="H75" s="156"/>
      <c r="I75" s="156"/>
      <c r="J75" s="156"/>
    </row>
    <row r="76" spans="1:10">
      <c r="A76" s="156"/>
      <c r="B76" s="156"/>
      <c r="C76" s="156"/>
      <c r="D76" s="156"/>
      <c r="E76" s="156"/>
      <c r="F76" s="156"/>
      <c r="G76" s="156"/>
      <c r="H76" s="156"/>
      <c r="I76" s="156"/>
      <c r="J76" s="156"/>
    </row>
    <row r="77" spans="1:10">
      <c r="A77" s="156"/>
      <c r="B77" s="156"/>
      <c r="C77" s="156"/>
      <c r="D77" s="156"/>
      <c r="E77" s="156"/>
      <c r="F77" s="156"/>
      <c r="G77" s="156"/>
      <c r="H77" s="156"/>
      <c r="I77" s="156"/>
      <c r="J77" s="156"/>
    </row>
    <row r="78" spans="1:10">
      <c r="A78" s="156"/>
      <c r="B78" s="156"/>
      <c r="C78" s="156"/>
      <c r="D78" s="156"/>
      <c r="E78" s="156"/>
      <c r="F78" s="156"/>
      <c r="G78" s="156"/>
      <c r="H78" s="156"/>
      <c r="I78" s="156"/>
      <c r="J78" s="156"/>
    </row>
    <row r="79" spans="1:10">
      <c r="A79" s="156"/>
      <c r="B79" s="156"/>
      <c r="C79" s="156"/>
      <c r="D79" s="156"/>
      <c r="E79" s="156"/>
      <c r="F79" s="156"/>
      <c r="G79" s="156"/>
      <c r="H79" s="156"/>
      <c r="I79" s="156"/>
      <c r="J79" s="156"/>
    </row>
    <row r="80" spans="1:10">
      <c r="A80" s="156"/>
      <c r="B80" s="156"/>
      <c r="C80" s="156"/>
      <c r="D80" s="156"/>
      <c r="E80" s="156"/>
      <c r="F80" s="156"/>
      <c r="G80" s="156"/>
      <c r="H80" s="156"/>
      <c r="I80" s="156"/>
      <c r="J80" s="156"/>
    </row>
  </sheetData>
  <mergeCells count="83">
    <mergeCell ref="E12:E13"/>
    <mergeCell ref="F12:G13"/>
    <mergeCell ref="E14:E15"/>
    <mergeCell ref="B14:B15"/>
    <mergeCell ref="C14:D15"/>
    <mergeCell ref="F14:G15"/>
    <mergeCell ref="C12:D12"/>
    <mergeCell ref="C13:D13"/>
    <mergeCell ref="F18:I18"/>
    <mergeCell ref="B33:I33"/>
    <mergeCell ref="H14:H15"/>
    <mergeCell ref="G35:I35"/>
    <mergeCell ref="E35:F35"/>
    <mergeCell ref="B35:D35"/>
    <mergeCell ref="B34:I34"/>
    <mergeCell ref="F6:G8"/>
    <mergeCell ref="F9:G11"/>
    <mergeCell ref="B44:D44"/>
    <mergeCell ref="B45:D45"/>
    <mergeCell ref="G36:I36"/>
    <mergeCell ref="G37:I37"/>
    <mergeCell ref="G38:I38"/>
    <mergeCell ref="G41:I41"/>
    <mergeCell ref="G42:I42"/>
    <mergeCell ref="G43:I43"/>
    <mergeCell ref="G44:I44"/>
    <mergeCell ref="E39:F39"/>
    <mergeCell ref="B39:D39"/>
    <mergeCell ref="G39:I39"/>
    <mergeCell ref="E42:F42"/>
    <mergeCell ref="B42:D42"/>
    <mergeCell ref="G46:I46"/>
    <mergeCell ref="B2:I2"/>
    <mergeCell ref="B17:I17"/>
    <mergeCell ref="B25:I25"/>
    <mergeCell ref="C3:I3"/>
    <mergeCell ref="C4:I4"/>
    <mergeCell ref="C5:I5"/>
    <mergeCell ref="C10:D10"/>
    <mergeCell ref="F19:I19"/>
    <mergeCell ref="F20:I20"/>
    <mergeCell ref="F21:I21"/>
    <mergeCell ref="F22:I22"/>
    <mergeCell ref="F23:I23"/>
    <mergeCell ref="E6:E8"/>
    <mergeCell ref="E9:E11"/>
    <mergeCell ref="E40:F40"/>
    <mergeCell ref="E41:F41"/>
    <mergeCell ref="B36:D36"/>
    <mergeCell ref="B37:D37"/>
    <mergeCell ref="B38:D38"/>
    <mergeCell ref="G45:I45"/>
    <mergeCell ref="E44:F44"/>
    <mergeCell ref="E45:F45"/>
    <mergeCell ref="E43:F43"/>
    <mergeCell ref="E38:F38"/>
    <mergeCell ref="B40:D40"/>
    <mergeCell ref="B41:D41"/>
    <mergeCell ref="B43:D43"/>
    <mergeCell ref="E36:F36"/>
    <mergeCell ref="E37:F37"/>
    <mergeCell ref="G40:I40"/>
    <mergeCell ref="E46:F46"/>
    <mergeCell ref="B53:F53"/>
    <mergeCell ref="B64:F64"/>
    <mergeCell ref="B59:F59"/>
    <mergeCell ref="B60:F60"/>
    <mergeCell ref="B61:F61"/>
    <mergeCell ref="B62:F62"/>
    <mergeCell ref="B63:F63"/>
    <mergeCell ref="B54:F54"/>
    <mergeCell ref="B55:F55"/>
    <mergeCell ref="B56:F56"/>
    <mergeCell ref="B57:F57"/>
    <mergeCell ref="B58:F58"/>
    <mergeCell ref="B52:F52"/>
    <mergeCell ref="B46:D46"/>
    <mergeCell ref="B51:F51"/>
    <mergeCell ref="C6:D6"/>
    <mergeCell ref="C7:D7"/>
    <mergeCell ref="C8:D8"/>
    <mergeCell ref="C9:D9"/>
    <mergeCell ref="C11:D11"/>
  </mergeCells>
  <dataValidations count="8">
    <dataValidation type="list" allowBlank="1" showInputMessage="1" showErrorMessage="1" sqref="J9" xr:uid="{BCDA7D9C-FF0D-4699-AD27-36014CEB9D4C}">
      <formula1>Scope_1</formula1>
    </dataValidation>
    <dataValidation type="list" allowBlank="1" showInputMessage="1" showErrorMessage="1" sqref="C8" xr:uid="{EC185E17-F2D3-419E-A69C-0072D07C41A8}">
      <formula1>"Global, Region, Local market"</formula1>
    </dataValidation>
    <dataValidation type="list" allowBlank="1" showInputMessage="1" showErrorMessage="1" sqref="C12" xr:uid="{D6340905-7D15-4CA7-A761-3E5DB271AE29}">
      <formula1>"Permanent, Daily bases, Monthly bases, Annual bases, Once"</formula1>
    </dataValidation>
    <dataValidation type="list" allowBlank="1" showInputMessage="1" showErrorMessage="1" sqref="I13:J13 E37:E46 F12 F6 F9 D27:G31 C13:C14 F14" xr:uid="{CCE7210A-C5CC-4858-9814-46638DC9C7FA}">
      <formula1>"Yes, No"</formula1>
    </dataValidation>
    <dataValidation type="list" allowBlank="1" showInputMessage="1" showErrorMessage="1" sqref="C9" xr:uid="{53F6A161-3781-43C5-84AF-4C69DC56D427}">
      <formula1>"HQ, Stores, Warehouse, Factory, Other"</formula1>
    </dataValidation>
    <dataValidation type="list" allowBlank="1" showInputMessage="1" showErrorMessage="1" sqref="E36:F36" xr:uid="{0BC535A7-224C-4177-BB5D-D7B24C525978}">
      <formula1>"Yes with production access, Yes without production access, No"</formula1>
    </dataValidation>
    <dataValidation type="list" allowBlank="1" showInputMessage="1" showErrorMessage="1" sqref="C11:D11" xr:uid="{6D0C86B9-F0EF-4DDA-812C-D434AA26810E}">
      <formula1>"Internet, Cloud / SaaS, Standalone, Intranet - On premises"</formula1>
    </dataValidation>
    <dataValidation type="list" allowBlank="1" showInputMessage="1" showErrorMessage="1" sqref="C10:D10" xr:uid="{2685FB86-DDCC-4D0D-9E8A-0FA216962D77}">
      <formula1>"Sephora - On premises, Sephora - Cloud, External - Cloud SaaS, External - Cloud IaaS/PaaS, External - Private SaaS, External - Private IaaS/PaaS,"</formula1>
    </dataValidation>
  </dataValidations>
  <pageMargins left="0.7" right="0.7" top="0.75" bottom="0.75" header="0.3" footer="0.3"/>
  <pageSetup paperSize="9" scale="43"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64F4-F08A-49F7-B964-CEA0F7270D98}">
  <sheetPr codeName="Feuil3">
    <pageSetUpPr fitToPage="1"/>
  </sheetPr>
  <dimension ref="A1:AI122"/>
  <sheetViews>
    <sheetView topLeftCell="A43" zoomScale="55" zoomScaleNormal="55" workbookViewId="0">
      <selection activeCell="G71" sqref="G71:K71"/>
    </sheetView>
  </sheetViews>
  <sheetFormatPr baseColWidth="10" defaultColWidth="0" defaultRowHeight="14.5" zeroHeight="1"/>
  <cols>
    <col min="1" max="1" width="10.54296875" customWidth="1"/>
    <col min="2" max="2" width="39.54296875" customWidth="1"/>
    <col min="3" max="3" width="13" customWidth="1"/>
    <col min="4" max="4" width="39.453125" customWidth="1"/>
    <col min="5" max="5" width="25.453125" customWidth="1"/>
    <col min="6" max="6" width="31.453125" customWidth="1"/>
    <col min="7" max="7" width="14.453125" customWidth="1"/>
    <col min="8" max="8" width="25.54296875" customWidth="1"/>
    <col min="9" max="9" width="22.81640625" bestFit="1" customWidth="1"/>
    <col min="10" max="10" width="20.54296875" bestFit="1" customWidth="1"/>
    <col min="11" max="11" width="47.453125" customWidth="1"/>
    <col min="12" max="12" width="10.54296875" customWidth="1"/>
    <col min="13" max="13" width="22.54296875" customWidth="1"/>
    <col min="14" max="14" width="31.453125" customWidth="1"/>
    <col min="15" max="15" width="124" customWidth="1"/>
    <col min="16" max="16" width="23.453125" customWidth="1"/>
    <col min="17" max="17" width="21.54296875" customWidth="1"/>
    <col min="18" max="18" width="58.54296875" customWidth="1"/>
    <col min="19" max="20" width="10.54296875" style="3" customWidth="1"/>
    <col min="21" max="21" width="15.54296875" customWidth="1"/>
    <col min="22" max="22" width="21.453125" customWidth="1"/>
    <col min="23" max="23" width="10.54296875" style="3" customWidth="1"/>
    <col min="24" max="24" width="17.54296875" customWidth="1"/>
    <col min="25" max="25" width="99.54296875" customWidth="1"/>
    <col min="26" max="27" width="10.54296875" customWidth="1"/>
    <col min="28" max="28" width="104.453125" customWidth="1"/>
    <col min="29" max="30" width="10.54296875" customWidth="1"/>
    <col min="31" max="31" width="132.54296875" customWidth="1"/>
    <col min="32" max="32" width="10.54296875" style="3" customWidth="1"/>
    <col min="33" max="35" width="0" style="3" hidden="1" customWidth="1"/>
    <col min="36" max="16384" width="10.54296875" hidden="1"/>
  </cols>
  <sheetData>
    <row r="1" spans="1:31" ht="35.25" customHeight="1" thickBot="1">
      <c r="A1" s="1"/>
      <c r="B1" s="1"/>
      <c r="C1" s="1"/>
      <c r="D1" s="1"/>
      <c r="E1" s="1"/>
      <c r="F1" s="1"/>
      <c r="G1" s="1"/>
      <c r="H1" s="1"/>
      <c r="I1" s="1"/>
      <c r="J1" s="1"/>
      <c r="K1" s="1"/>
      <c r="L1" s="1"/>
      <c r="M1" s="3"/>
      <c r="N1" s="3"/>
      <c r="O1" s="3"/>
      <c r="P1" s="3"/>
      <c r="Q1" s="3"/>
      <c r="R1" s="3"/>
      <c r="U1" s="3"/>
      <c r="V1" s="3"/>
      <c r="X1" s="3"/>
      <c r="Y1" s="3"/>
      <c r="Z1" s="3"/>
      <c r="AA1" s="3"/>
      <c r="AB1" s="3"/>
      <c r="AC1" s="3"/>
      <c r="AD1" s="3"/>
      <c r="AE1" s="3"/>
    </row>
    <row r="2" spans="1:31" ht="50.15" customHeight="1" thickTop="1">
      <c r="A2" s="1"/>
      <c r="B2" s="369" t="s">
        <v>104</v>
      </c>
      <c r="C2" s="370"/>
      <c r="D2" s="370"/>
      <c r="E2" s="370"/>
      <c r="F2" s="370"/>
      <c r="G2" s="370"/>
      <c r="H2" s="371"/>
      <c r="I2" s="371"/>
      <c r="J2" s="371"/>
      <c r="K2" s="372"/>
      <c r="L2" s="7"/>
      <c r="M2" s="8"/>
      <c r="N2" s="3"/>
      <c r="O2" s="3"/>
      <c r="P2" s="3"/>
      <c r="Q2" s="3"/>
      <c r="R2" s="3"/>
      <c r="U2" s="3"/>
      <c r="V2" s="3"/>
      <c r="X2" s="3"/>
      <c r="Y2" s="3"/>
      <c r="Z2" s="3"/>
      <c r="AA2" s="3"/>
      <c r="AB2" s="3"/>
      <c r="AC2" s="3"/>
      <c r="AD2" s="3"/>
      <c r="AE2" s="3"/>
    </row>
    <row r="3" spans="1:31" ht="40.4" customHeight="1">
      <c r="A3" s="1"/>
      <c r="B3" s="407" t="s">
        <v>105</v>
      </c>
      <c r="C3" s="408"/>
      <c r="D3" s="408"/>
      <c r="E3" s="408"/>
      <c r="F3" s="408"/>
      <c r="G3" s="408" t="s">
        <v>106</v>
      </c>
      <c r="H3" s="344"/>
      <c r="I3" s="344"/>
      <c r="J3" s="344"/>
      <c r="K3" s="409"/>
      <c r="L3" s="7"/>
      <c r="M3" s="8"/>
      <c r="N3" s="3"/>
      <c r="O3" s="3"/>
      <c r="P3" s="3"/>
      <c r="Q3" s="3"/>
      <c r="R3" s="3"/>
      <c r="U3" s="3"/>
      <c r="V3" s="3"/>
      <c r="X3" s="3"/>
      <c r="Y3" s="3"/>
      <c r="Z3" s="3"/>
      <c r="AA3" s="3"/>
      <c r="AB3" s="3"/>
      <c r="AC3" s="3"/>
      <c r="AD3" s="3"/>
      <c r="AE3" s="3"/>
    </row>
    <row r="4" spans="1:31" ht="35.9" customHeight="1" thickBot="1">
      <c r="A4" s="1"/>
      <c r="B4" s="41" t="s">
        <v>107</v>
      </c>
      <c r="C4" s="4" t="s">
        <v>108</v>
      </c>
      <c r="D4" s="4" t="s">
        <v>109</v>
      </c>
      <c r="E4" s="4" t="s">
        <v>110</v>
      </c>
      <c r="F4" s="4" t="s">
        <v>111</v>
      </c>
      <c r="G4" s="238" t="s">
        <v>112</v>
      </c>
      <c r="H4" s="4" t="s">
        <v>113</v>
      </c>
      <c r="I4" s="238" t="s">
        <v>1624</v>
      </c>
      <c r="J4" s="44" t="s">
        <v>114</v>
      </c>
      <c r="K4" s="249" t="s">
        <v>1565</v>
      </c>
      <c r="L4" s="7"/>
      <c r="M4" s="8"/>
      <c r="N4" s="3"/>
      <c r="O4" s="3"/>
      <c r="P4" s="3"/>
      <c r="Q4" s="3"/>
      <c r="R4" s="3"/>
      <c r="U4" s="3"/>
      <c r="V4" s="3"/>
      <c r="X4" s="3"/>
      <c r="Y4" s="3"/>
      <c r="Z4" s="3"/>
      <c r="AA4" s="3"/>
      <c r="AB4" s="3"/>
      <c r="AC4" s="3"/>
      <c r="AD4" s="3"/>
      <c r="AE4" s="3"/>
    </row>
    <row r="5" spans="1:31" ht="30" customHeight="1" thickBot="1">
      <c r="A5" s="1"/>
      <c r="B5" s="47" t="s">
        <v>115</v>
      </c>
      <c r="C5" s="45" t="s">
        <v>50</v>
      </c>
      <c r="D5" s="235"/>
      <c r="E5" s="235"/>
      <c r="F5" s="45"/>
      <c r="G5" s="248"/>
      <c r="H5" s="45"/>
      <c r="I5" s="248"/>
      <c r="J5" s="248"/>
      <c r="K5" s="259"/>
      <c r="L5" s="264"/>
      <c r="M5" s="8"/>
      <c r="N5" s="3"/>
      <c r="O5" s="3"/>
      <c r="P5" s="3"/>
      <c r="Q5" s="3"/>
      <c r="R5" s="3"/>
      <c r="U5" s="3"/>
      <c r="V5" s="3"/>
      <c r="X5" s="3"/>
      <c r="Y5" s="3"/>
      <c r="Z5" s="3"/>
      <c r="AA5" s="3"/>
      <c r="AB5" s="3"/>
      <c r="AC5" s="3"/>
      <c r="AD5" s="3"/>
      <c r="AE5" s="3"/>
    </row>
    <row r="6" spans="1:31" ht="30" customHeight="1">
      <c r="A6" s="1"/>
      <c r="B6" s="47" t="s">
        <v>116</v>
      </c>
      <c r="C6" s="45"/>
      <c r="D6" s="235"/>
      <c r="E6" s="235"/>
      <c r="F6" s="45"/>
      <c r="G6" s="248"/>
      <c r="H6" s="45"/>
      <c r="I6" s="248"/>
      <c r="J6" s="248"/>
      <c r="K6" s="260"/>
      <c r="L6" s="264"/>
      <c r="M6" s="8"/>
      <c r="N6" s="3"/>
      <c r="O6" s="3"/>
      <c r="P6" s="3"/>
      <c r="Q6" s="3"/>
      <c r="R6" s="3"/>
      <c r="U6" s="3"/>
      <c r="V6" s="3"/>
      <c r="X6" s="3"/>
      <c r="Y6" s="3"/>
      <c r="Z6" s="3"/>
      <c r="AA6" s="3"/>
      <c r="AB6" s="3"/>
      <c r="AC6" s="3"/>
      <c r="AD6" s="3"/>
      <c r="AE6" s="3"/>
    </row>
    <row r="7" spans="1:31" ht="30" customHeight="1">
      <c r="A7" s="1"/>
      <c r="B7" s="47" t="s">
        <v>117</v>
      </c>
      <c r="C7" s="45"/>
      <c r="D7" s="235"/>
      <c r="E7" s="235"/>
      <c r="F7" s="45"/>
      <c r="G7" s="248"/>
      <c r="H7" s="45"/>
      <c r="I7" s="248"/>
      <c r="J7" s="248"/>
      <c r="K7" s="261"/>
      <c r="L7" s="264"/>
      <c r="M7" s="8"/>
      <c r="N7" s="3"/>
      <c r="O7" s="3"/>
      <c r="P7" s="3"/>
      <c r="Q7" s="3"/>
      <c r="R7" s="3"/>
      <c r="U7" s="3"/>
      <c r="V7" s="3"/>
      <c r="X7" s="3"/>
      <c r="Y7" s="3"/>
      <c r="Z7" s="3"/>
      <c r="AA7" s="3"/>
      <c r="AB7" s="3"/>
      <c r="AC7" s="3"/>
      <c r="AD7" s="3"/>
      <c r="AE7" s="3"/>
    </row>
    <row r="8" spans="1:31" ht="30" customHeight="1">
      <c r="A8" s="1"/>
      <c r="B8" s="47" t="s">
        <v>118</v>
      </c>
      <c r="C8" s="45" t="s">
        <v>50</v>
      </c>
      <c r="D8" s="235"/>
      <c r="E8" s="235"/>
      <c r="F8" s="45"/>
      <c r="G8" s="248"/>
      <c r="H8" s="45"/>
      <c r="I8" s="248"/>
      <c r="J8" s="248"/>
      <c r="K8" s="261"/>
      <c r="L8" s="264"/>
      <c r="M8" s="8"/>
      <c r="N8" s="3"/>
      <c r="O8" s="3"/>
      <c r="P8" s="3"/>
      <c r="Q8" s="3"/>
      <c r="R8" s="3"/>
      <c r="U8" s="3"/>
      <c r="V8" s="3"/>
      <c r="X8" s="3"/>
      <c r="Y8" s="3"/>
      <c r="Z8" s="3"/>
      <c r="AA8" s="3"/>
      <c r="AB8" s="3"/>
      <c r="AC8" s="3"/>
      <c r="AD8" s="3"/>
      <c r="AE8" s="3"/>
    </row>
    <row r="9" spans="1:31" ht="30" customHeight="1">
      <c r="A9" s="1"/>
      <c r="B9" s="47" t="s">
        <v>119</v>
      </c>
      <c r="C9" s="45"/>
      <c r="D9" s="235"/>
      <c r="E9" s="235"/>
      <c r="F9" s="45"/>
      <c r="G9" s="248"/>
      <c r="H9" s="45"/>
      <c r="I9" s="248"/>
      <c r="J9" s="248"/>
      <c r="K9" s="261"/>
      <c r="L9" s="264"/>
      <c r="M9" s="8"/>
      <c r="N9" s="3"/>
      <c r="O9" s="3"/>
      <c r="P9" s="3"/>
      <c r="Q9" s="3"/>
      <c r="R9" s="3"/>
      <c r="U9" s="3"/>
      <c r="V9" s="3"/>
      <c r="X9" s="3"/>
      <c r="Y9" s="3"/>
      <c r="Z9" s="3"/>
      <c r="AA9" s="3"/>
      <c r="AB9" s="3"/>
      <c r="AC9" s="3"/>
      <c r="AD9" s="3"/>
      <c r="AE9" s="3"/>
    </row>
    <row r="10" spans="1:31" ht="30" customHeight="1">
      <c r="A10" s="1"/>
      <c r="B10" s="47" t="s">
        <v>120</v>
      </c>
      <c r="C10" s="45"/>
      <c r="D10" s="235"/>
      <c r="E10" s="235"/>
      <c r="F10" s="45"/>
      <c r="G10" s="248"/>
      <c r="H10" s="45"/>
      <c r="I10" s="248"/>
      <c r="J10" s="248"/>
      <c r="K10" s="261"/>
      <c r="L10" s="263"/>
      <c r="M10" s="3"/>
      <c r="N10" s="3"/>
      <c r="O10" s="3"/>
      <c r="P10" s="3"/>
      <c r="Q10" s="3"/>
      <c r="R10" s="3"/>
      <c r="U10" s="3"/>
      <c r="V10" s="3"/>
      <c r="X10" s="3"/>
      <c r="Y10" s="3"/>
      <c r="Z10" s="3"/>
      <c r="AA10" s="3"/>
      <c r="AB10" s="3"/>
      <c r="AC10" s="3"/>
      <c r="AD10" s="3"/>
      <c r="AE10" s="3"/>
    </row>
    <row r="11" spans="1:31" ht="30" customHeight="1">
      <c r="A11" s="1"/>
      <c r="B11" s="47" t="s">
        <v>121</v>
      </c>
      <c r="C11" s="45" t="s">
        <v>50</v>
      </c>
      <c r="D11" s="235"/>
      <c r="E11" s="235"/>
      <c r="F11" s="45"/>
      <c r="G11" s="248"/>
      <c r="H11" s="45"/>
      <c r="I11" s="248"/>
      <c r="J11" s="248"/>
      <c r="K11" s="261"/>
      <c r="L11" s="263"/>
      <c r="M11" s="3"/>
      <c r="N11" s="3"/>
      <c r="O11" s="3"/>
      <c r="P11" s="3"/>
      <c r="Q11" s="3"/>
      <c r="R11" s="3"/>
      <c r="U11" s="3"/>
      <c r="V11" s="3"/>
      <c r="X11" s="3"/>
      <c r="Y11" s="3"/>
      <c r="Z11" s="3"/>
      <c r="AA11" s="3"/>
      <c r="AB11" s="3"/>
      <c r="AC11" s="3"/>
      <c r="AD11" s="3"/>
      <c r="AE11" s="3"/>
    </row>
    <row r="12" spans="1:31" ht="30" customHeight="1">
      <c r="A12" s="1"/>
      <c r="B12" s="47" t="s">
        <v>122</v>
      </c>
      <c r="C12" s="45" t="s">
        <v>50</v>
      </c>
      <c r="D12" s="235"/>
      <c r="E12" s="235"/>
      <c r="F12" s="45"/>
      <c r="G12" s="248"/>
      <c r="H12" s="45"/>
      <c r="I12" s="248"/>
      <c r="J12" s="248"/>
      <c r="K12" s="261"/>
      <c r="L12" s="263"/>
      <c r="M12" s="3"/>
      <c r="N12" s="3"/>
      <c r="O12" s="3"/>
      <c r="P12" s="3"/>
      <c r="Q12" s="3"/>
      <c r="R12" s="3"/>
      <c r="U12" s="3"/>
      <c r="V12" s="3"/>
      <c r="X12" s="3"/>
      <c r="Y12" s="3"/>
      <c r="Z12" s="3"/>
      <c r="AA12" s="3"/>
      <c r="AB12" s="3"/>
      <c r="AC12" s="3"/>
      <c r="AD12" s="3"/>
      <c r="AE12" s="3"/>
    </row>
    <row r="13" spans="1:31" ht="30" customHeight="1" thickBot="1">
      <c r="A13" s="1"/>
      <c r="B13" s="47" t="s">
        <v>123</v>
      </c>
      <c r="C13" s="45"/>
      <c r="D13" s="235"/>
      <c r="E13" s="235"/>
      <c r="F13" s="45"/>
      <c r="G13" s="248"/>
      <c r="H13" s="45"/>
      <c r="I13" s="248"/>
      <c r="J13" s="248"/>
      <c r="K13" s="262"/>
      <c r="L13" s="263"/>
      <c r="M13" s="3"/>
      <c r="N13" s="3"/>
      <c r="O13" s="3"/>
      <c r="P13" s="3"/>
      <c r="Q13" s="3"/>
      <c r="R13" s="3"/>
      <c r="U13" s="3"/>
      <c r="V13" s="3"/>
      <c r="X13" s="3"/>
      <c r="Y13" s="3"/>
      <c r="Z13" s="3"/>
      <c r="AA13" s="3"/>
      <c r="AB13" s="3"/>
      <c r="AC13" s="3"/>
      <c r="AD13" s="3"/>
      <c r="AE13" s="3"/>
    </row>
    <row r="14" spans="1:31" ht="30" customHeight="1">
      <c r="A14" s="1"/>
      <c r="B14" s="47" t="s">
        <v>124</v>
      </c>
      <c r="C14" s="45"/>
      <c r="D14" s="375" t="s">
        <v>125</v>
      </c>
      <c r="E14" s="376"/>
      <c r="F14" s="376"/>
      <c r="G14" s="376"/>
      <c r="H14" s="376"/>
      <c r="I14" s="376"/>
      <c r="J14" s="376"/>
      <c r="K14" s="421"/>
      <c r="L14" s="7"/>
      <c r="M14" s="3"/>
      <c r="N14" s="3"/>
      <c r="O14" s="3"/>
      <c r="P14" s="3"/>
      <c r="Q14" s="3"/>
      <c r="R14" s="3"/>
      <c r="U14" s="3"/>
      <c r="V14" s="3"/>
      <c r="X14" s="3"/>
      <c r="Y14" s="3"/>
      <c r="Z14" s="3"/>
      <c r="AA14" s="3"/>
      <c r="AB14" s="3"/>
      <c r="AC14" s="3"/>
      <c r="AD14" s="3"/>
      <c r="AE14" s="3"/>
    </row>
    <row r="15" spans="1:31" ht="30" customHeight="1">
      <c r="A15" s="1"/>
      <c r="B15" s="47" t="s">
        <v>126</v>
      </c>
      <c r="C15" s="45"/>
      <c r="D15" s="422"/>
      <c r="E15" s="423"/>
      <c r="F15" s="423"/>
      <c r="G15" s="423"/>
      <c r="H15" s="423"/>
      <c r="I15" s="423"/>
      <c r="J15" s="423"/>
      <c r="K15" s="424"/>
      <c r="L15" s="7"/>
      <c r="M15" s="3"/>
      <c r="N15" s="3"/>
      <c r="O15" s="3"/>
      <c r="P15" s="3"/>
      <c r="Q15" s="3"/>
      <c r="R15" s="3"/>
      <c r="U15" s="3"/>
      <c r="V15" s="3"/>
      <c r="X15" s="3"/>
      <c r="Y15" s="3"/>
      <c r="Z15" s="3"/>
      <c r="AA15" s="3"/>
      <c r="AB15" s="3"/>
      <c r="AC15" s="3"/>
      <c r="AD15" s="3"/>
      <c r="AE15" s="3"/>
    </row>
    <row r="16" spans="1:31" ht="40.4" customHeight="1">
      <c r="A16" s="1"/>
      <c r="B16" s="417" t="s">
        <v>127</v>
      </c>
      <c r="C16" s="418"/>
      <c r="D16" s="418"/>
      <c r="E16" s="4" t="s">
        <v>108</v>
      </c>
      <c r="F16" s="349" t="s">
        <v>128</v>
      </c>
      <c r="G16" s="350"/>
      <c r="H16" s="350"/>
      <c r="I16" s="350"/>
      <c r="J16" s="350"/>
      <c r="K16" s="351"/>
      <c r="L16" s="7"/>
      <c r="M16" s="3"/>
      <c r="N16" s="3"/>
      <c r="O16" s="3"/>
      <c r="P16" s="3"/>
      <c r="Q16" s="3"/>
      <c r="R16" s="3"/>
      <c r="U16" s="3"/>
      <c r="V16" s="3"/>
      <c r="X16" s="3"/>
      <c r="Y16" s="3"/>
      <c r="Z16" s="3"/>
      <c r="AA16" s="3"/>
      <c r="AB16" s="3"/>
      <c r="AC16" s="3"/>
      <c r="AD16" s="3"/>
      <c r="AE16" s="3"/>
    </row>
    <row r="17" spans="1:31" ht="30" customHeight="1">
      <c r="A17" s="1"/>
      <c r="B17" s="410" t="s">
        <v>129</v>
      </c>
      <c r="C17" s="411"/>
      <c r="D17" s="412"/>
      <c r="E17" s="45" t="s">
        <v>50</v>
      </c>
      <c r="F17" s="375"/>
      <c r="G17" s="376"/>
      <c r="H17" s="376"/>
      <c r="I17" s="376"/>
      <c r="J17" s="376"/>
      <c r="K17" s="377"/>
      <c r="L17" s="7"/>
      <c r="M17" s="3"/>
      <c r="N17" s="3"/>
      <c r="O17" s="3"/>
      <c r="P17" s="3"/>
      <c r="Q17" s="3"/>
      <c r="R17" s="3"/>
      <c r="U17" s="3"/>
      <c r="V17" s="3"/>
      <c r="X17" s="3"/>
      <c r="Y17" s="3"/>
      <c r="Z17" s="3"/>
      <c r="AA17" s="3"/>
      <c r="AB17" s="3"/>
      <c r="AC17" s="3"/>
      <c r="AD17" s="3"/>
      <c r="AE17" s="3"/>
    </row>
    <row r="18" spans="1:31" ht="30" customHeight="1">
      <c r="A18" s="1"/>
      <c r="B18" s="410" t="s">
        <v>130</v>
      </c>
      <c r="C18" s="411"/>
      <c r="D18" s="412"/>
      <c r="E18" s="45"/>
      <c r="F18" s="375"/>
      <c r="G18" s="376"/>
      <c r="H18" s="376"/>
      <c r="I18" s="376"/>
      <c r="J18" s="376"/>
      <c r="K18" s="377"/>
      <c r="L18" s="7"/>
      <c r="M18" s="3"/>
      <c r="N18" s="3"/>
      <c r="O18" s="3"/>
      <c r="P18" s="3"/>
      <c r="Q18" s="3"/>
      <c r="R18" s="3"/>
      <c r="U18" s="3"/>
      <c r="V18" s="3"/>
      <c r="X18" s="3"/>
      <c r="Y18" s="3"/>
      <c r="Z18" s="3"/>
      <c r="AA18" s="3"/>
      <c r="AB18" s="3"/>
      <c r="AC18" s="3"/>
      <c r="AD18" s="3"/>
      <c r="AE18" s="3"/>
    </row>
    <row r="19" spans="1:31" ht="32.9" customHeight="1">
      <c r="A19" s="1"/>
      <c r="B19" s="410" t="s">
        <v>131</v>
      </c>
      <c r="C19" s="411"/>
      <c r="D19" s="412"/>
      <c r="E19" s="45"/>
      <c r="F19" s="375"/>
      <c r="G19" s="376"/>
      <c r="H19" s="376"/>
      <c r="I19" s="376"/>
      <c r="J19" s="376"/>
      <c r="K19" s="377"/>
      <c r="L19" s="1"/>
      <c r="M19" s="3"/>
      <c r="N19" s="3"/>
      <c r="O19" s="3"/>
      <c r="P19" s="3"/>
      <c r="Q19" s="3"/>
      <c r="R19" s="3"/>
      <c r="U19" s="3"/>
      <c r="V19" s="3"/>
      <c r="X19" s="3"/>
      <c r="Y19" s="3"/>
      <c r="Z19" s="3"/>
      <c r="AA19" s="3"/>
      <c r="AB19" s="3"/>
      <c r="AC19" s="3"/>
      <c r="AD19" s="3"/>
      <c r="AE19" s="3"/>
    </row>
    <row r="20" spans="1:31" ht="35.9" customHeight="1">
      <c r="A20" s="1"/>
      <c r="B20" s="410" t="s">
        <v>132</v>
      </c>
      <c r="C20" s="411"/>
      <c r="D20" s="412"/>
      <c r="E20" s="45"/>
      <c r="F20" s="375"/>
      <c r="G20" s="376"/>
      <c r="H20" s="376"/>
      <c r="I20" s="376"/>
      <c r="J20" s="376"/>
      <c r="K20" s="377"/>
      <c r="L20" s="1"/>
      <c r="M20" s="3"/>
      <c r="N20" s="3"/>
      <c r="O20" s="3"/>
      <c r="P20" s="3"/>
      <c r="Q20" s="3"/>
      <c r="R20" s="3"/>
      <c r="U20" s="3"/>
      <c r="V20" s="3"/>
      <c r="X20" s="3"/>
      <c r="Y20" s="3"/>
      <c r="Z20" s="3"/>
      <c r="AA20" s="3"/>
      <c r="AB20" s="3"/>
      <c r="AC20" s="3"/>
      <c r="AD20" s="3"/>
      <c r="AE20" s="3"/>
    </row>
    <row r="21" spans="1:31" ht="36.65" customHeight="1">
      <c r="A21" s="1"/>
      <c r="B21" s="410" t="s">
        <v>133</v>
      </c>
      <c r="C21" s="411"/>
      <c r="D21" s="412"/>
      <c r="E21" s="45"/>
      <c r="F21" s="375"/>
      <c r="G21" s="376"/>
      <c r="H21" s="376"/>
      <c r="I21" s="376"/>
      <c r="J21" s="376"/>
      <c r="K21" s="377"/>
      <c r="L21" s="1"/>
      <c r="M21" s="3"/>
      <c r="N21" s="3"/>
      <c r="O21" s="3"/>
      <c r="P21" s="3"/>
      <c r="Q21" s="3"/>
      <c r="R21" s="3"/>
      <c r="U21" s="3"/>
      <c r="V21" s="3"/>
      <c r="X21" s="3"/>
      <c r="Y21" s="3"/>
      <c r="Z21" s="3"/>
      <c r="AA21" s="3"/>
      <c r="AB21" s="3"/>
      <c r="AC21" s="3"/>
      <c r="AD21" s="3"/>
      <c r="AE21" s="3"/>
    </row>
    <row r="22" spans="1:31" ht="33.65" customHeight="1">
      <c r="A22" s="1"/>
      <c r="B22" s="410" t="s">
        <v>134</v>
      </c>
      <c r="C22" s="411"/>
      <c r="D22" s="412"/>
      <c r="E22" s="45"/>
      <c r="F22" s="375"/>
      <c r="G22" s="376"/>
      <c r="H22" s="376"/>
      <c r="I22" s="376"/>
      <c r="J22" s="376"/>
      <c r="K22" s="377"/>
      <c r="L22" s="1"/>
      <c r="M22" s="3"/>
      <c r="N22" s="3"/>
      <c r="O22" s="3"/>
      <c r="P22" s="3"/>
      <c r="Q22" s="3"/>
      <c r="R22" s="3"/>
      <c r="U22" s="3"/>
      <c r="V22" s="3"/>
      <c r="X22" s="3"/>
      <c r="Y22" s="3"/>
      <c r="Z22" s="3"/>
      <c r="AA22" s="3"/>
      <c r="AB22" s="3"/>
      <c r="AC22" s="3"/>
      <c r="AD22" s="3"/>
      <c r="AE22" s="3"/>
    </row>
    <row r="23" spans="1:31" ht="30" customHeight="1">
      <c r="A23" s="1"/>
      <c r="B23" s="410" t="s">
        <v>135</v>
      </c>
      <c r="C23" s="411"/>
      <c r="D23" s="412"/>
      <c r="E23" s="45"/>
      <c r="F23" s="375"/>
      <c r="G23" s="376"/>
      <c r="H23" s="376"/>
      <c r="I23" s="376"/>
      <c r="J23" s="376"/>
      <c r="K23" s="377"/>
      <c r="L23" s="1"/>
      <c r="M23" s="3"/>
      <c r="N23" s="3"/>
      <c r="O23" s="3"/>
      <c r="P23" s="3"/>
      <c r="Q23" s="3"/>
      <c r="R23" s="3"/>
      <c r="U23" s="3"/>
      <c r="V23" s="3"/>
      <c r="X23" s="3"/>
      <c r="Y23" s="3"/>
      <c r="Z23" s="3"/>
      <c r="AA23" s="3"/>
      <c r="AB23" s="3"/>
      <c r="AC23" s="3"/>
      <c r="AD23" s="3"/>
      <c r="AE23" s="3"/>
    </row>
    <row r="24" spans="1:31" ht="30" customHeight="1">
      <c r="A24" s="1"/>
      <c r="B24" s="410" t="s">
        <v>136</v>
      </c>
      <c r="C24" s="411"/>
      <c r="D24" s="412"/>
      <c r="E24" s="45"/>
      <c r="F24" s="375"/>
      <c r="G24" s="376"/>
      <c r="H24" s="376"/>
      <c r="I24" s="376"/>
      <c r="J24" s="376"/>
      <c r="K24" s="377"/>
      <c r="L24" s="1"/>
      <c r="M24" s="3"/>
      <c r="N24" s="3"/>
      <c r="O24" s="3"/>
      <c r="P24" s="3"/>
      <c r="Q24" s="3"/>
      <c r="R24" s="3"/>
      <c r="U24" s="3"/>
      <c r="V24" s="3"/>
      <c r="X24" s="3"/>
      <c r="Y24" s="3"/>
      <c r="Z24" s="3"/>
      <c r="AA24" s="3"/>
      <c r="AB24" s="3"/>
      <c r="AC24" s="3"/>
      <c r="AD24" s="3"/>
      <c r="AE24" s="3"/>
    </row>
    <row r="25" spans="1:31" ht="30" customHeight="1">
      <c r="A25" s="1"/>
      <c r="B25" s="410" t="s">
        <v>137</v>
      </c>
      <c r="C25" s="411"/>
      <c r="D25" s="412"/>
      <c r="E25" s="45"/>
      <c r="F25" s="375"/>
      <c r="G25" s="376"/>
      <c r="H25" s="376"/>
      <c r="I25" s="376"/>
      <c r="J25" s="376"/>
      <c r="K25" s="377"/>
      <c r="L25" s="1"/>
      <c r="M25" s="3"/>
      <c r="N25" s="3"/>
      <c r="O25" s="3"/>
      <c r="P25" s="3"/>
      <c r="Q25" s="3"/>
      <c r="R25" s="3"/>
      <c r="U25" s="3"/>
      <c r="V25" s="3"/>
      <c r="X25" s="3"/>
      <c r="Y25" s="3"/>
      <c r="Z25" s="3"/>
      <c r="AA25" s="3"/>
      <c r="AB25" s="3"/>
      <c r="AC25" s="3"/>
      <c r="AD25" s="3"/>
      <c r="AE25" s="3"/>
    </row>
    <row r="26" spans="1:31" ht="30" customHeight="1">
      <c r="A26" s="1"/>
      <c r="B26" s="410" t="s">
        <v>138</v>
      </c>
      <c r="C26" s="411"/>
      <c r="D26" s="412"/>
      <c r="E26" s="45"/>
      <c r="F26" s="375"/>
      <c r="G26" s="376"/>
      <c r="H26" s="376"/>
      <c r="I26" s="376"/>
      <c r="J26" s="376"/>
      <c r="K26" s="377"/>
      <c r="L26" s="1"/>
      <c r="M26" s="3"/>
      <c r="N26" s="3"/>
      <c r="O26" s="3"/>
      <c r="P26" s="3"/>
      <c r="Q26" s="3"/>
      <c r="R26" s="3"/>
      <c r="U26" s="3"/>
      <c r="V26" s="3"/>
      <c r="X26" s="3"/>
      <c r="Y26" s="3"/>
      <c r="Z26" s="3"/>
      <c r="AA26" s="3"/>
      <c r="AB26" s="3"/>
      <c r="AC26" s="3"/>
      <c r="AD26" s="3"/>
      <c r="AE26" s="3"/>
    </row>
    <row r="27" spans="1:31" ht="30" customHeight="1">
      <c r="A27" s="1"/>
      <c r="B27" s="410" t="s">
        <v>139</v>
      </c>
      <c r="C27" s="411"/>
      <c r="D27" s="412"/>
      <c r="E27" s="45"/>
      <c r="F27" s="375"/>
      <c r="G27" s="376"/>
      <c r="H27" s="376"/>
      <c r="I27" s="376"/>
      <c r="J27" s="376"/>
      <c r="K27" s="377"/>
      <c r="L27" s="1"/>
      <c r="M27" s="3"/>
      <c r="N27" s="3"/>
      <c r="O27" s="3"/>
      <c r="P27" s="3"/>
      <c r="Q27" s="3"/>
      <c r="R27" s="3"/>
      <c r="U27" s="3"/>
      <c r="V27" s="3"/>
      <c r="X27" s="3"/>
      <c r="Y27" s="3"/>
      <c r="Z27" s="3"/>
      <c r="AA27" s="3"/>
      <c r="AB27" s="3"/>
      <c r="AC27" s="3"/>
      <c r="AD27" s="3"/>
      <c r="AE27" s="3"/>
    </row>
    <row r="28" spans="1:31" ht="43.5" customHeight="1">
      <c r="A28" s="1"/>
      <c r="B28" s="410" t="s">
        <v>140</v>
      </c>
      <c r="C28" s="411"/>
      <c r="D28" s="412"/>
      <c r="E28" s="45"/>
      <c r="F28" s="375"/>
      <c r="G28" s="376"/>
      <c r="H28" s="376"/>
      <c r="I28" s="376"/>
      <c r="J28" s="376"/>
      <c r="K28" s="377"/>
      <c r="L28" s="1"/>
      <c r="M28" s="3"/>
      <c r="N28" s="3"/>
      <c r="O28" s="3"/>
      <c r="P28" s="3"/>
      <c r="Q28" s="3"/>
      <c r="R28" s="3"/>
      <c r="U28" s="3"/>
      <c r="V28" s="3"/>
      <c r="X28" s="3"/>
      <c r="Y28" s="3"/>
      <c r="Z28" s="3"/>
      <c r="AA28" s="3"/>
      <c r="AB28" s="3"/>
      <c r="AC28" s="3"/>
      <c r="AD28" s="3"/>
      <c r="AE28" s="3"/>
    </row>
    <row r="29" spans="1:31" ht="30" customHeight="1">
      <c r="A29" s="1"/>
      <c r="B29" s="410" t="s">
        <v>141</v>
      </c>
      <c r="C29" s="411"/>
      <c r="D29" s="412"/>
      <c r="E29" s="45"/>
      <c r="F29" s="375"/>
      <c r="G29" s="376"/>
      <c r="H29" s="376"/>
      <c r="I29" s="376"/>
      <c r="J29" s="376"/>
      <c r="K29" s="377"/>
      <c r="L29" s="1"/>
      <c r="M29" s="3"/>
      <c r="N29" s="3"/>
      <c r="O29" s="3"/>
      <c r="P29" s="3"/>
      <c r="Q29" s="32"/>
      <c r="R29" s="32"/>
      <c r="U29" s="3"/>
      <c r="V29" s="3"/>
      <c r="X29" s="3"/>
      <c r="Y29" s="3"/>
      <c r="Z29" s="3"/>
      <c r="AA29" s="3"/>
      <c r="AB29" s="3"/>
      <c r="AC29" s="3"/>
      <c r="AD29" s="3"/>
      <c r="AE29" s="3"/>
    </row>
    <row r="30" spans="1:31" ht="30" customHeight="1">
      <c r="A30" s="1"/>
      <c r="B30" s="410" t="s">
        <v>142</v>
      </c>
      <c r="C30" s="411"/>
      <c r="D30" s="412"/>
      <c r="E30" s="45"/>
      <c r="F30" s="375"/>
      <c r="G30" s="376"/>
      <c r="H30" s="376"/>
      <c r="I30" s="376"/>
      <c r="J30" s="376"/>
      <c r="K30" s="377"/>
      <c r="L30" s="1"/>
      <c r="M30" s="3"/>
      <c r="N30" s="3"/>
      <c r="O30" s="3"/>
      <c r="P30" s="93"/>
      <c r="Q30" s="94"/>
      <c r="R30" s="94"/>
      <c r="S30" s="8"/>
      <c r="U30" s="3"/>
      <c r="V30" s="3"/>
      <c r="X30" s="3"/>
      <c r="Y30" s="3"/>
      <c r="Z30" s="3"/>
      <c r="AA30" s="3"/>
      <c r="AB30" s="3"/>
      <c r="AC30" s="3"/>
      <c r="AD30" s="3"/>
      <c r="AE30" s="3"/>
    </row>
    <row r="31" spans="1:31" ht="30" customHeight="1" thickBot="1">
      <c r="A31" s="1"/>
      <c r="B31" s="413" t="s">
        <v>143</v>
      </c>
      <c r="C31" s="414"/>
      <c r="D31" s="415"/>
      <c r="E31" s="46"/>
      <c r="F31" s="416" t="s">
        <v>144</v>
      </c>
      <c r="G31" s="381"/>
      <c r="H31" s="381"/>
      <c r="I31" s="381"/>
      <c r="J31" s="381"/>
      <c r="K31" s="382"/>
      <c r="L31" s="1"/>
      <c r="M31" s="3"/>
      <c r="N31" s="3"/>
      <c r="O31" s="3"/>
      <c r="P31" s="94"/>
      <c r="Q31" s="94"/>
      <c r="R31" s="94"/>
      <c r="S31" s="8"/>
      <c r="U31" s="3"/>
      <c r="V31" s="3"/>
      <c r="X31" s="3"/>
      <c r="Y31" s="3"/>
      <c r="Z31" s="3"/>
      <c r="AA31" s="3"/>
      <c r="AB31" s="3"/>
      <c r="AC31" s="3"/>
      <c r="AD31" s="3"/>
      <c r="AE31" s="3"/>
    </row>
    <row r="32" spans="1:31" ht="50.15" customHeight="1" thickTop="1" thickBot="1">
      <c r="A32" s="1"/>
      <c r="B32" s="1"/>
      <c r="C32" s="1"/>
      <c r="D32" s="1"/>
      <c r="E32" s="1"/>
      <c r="F32" s="1"/>
      <c r="G32" s="1"/>
      <c r="H32" s="1"/>
      <c r="I32" s="1"/>
      <c r="J32" s="1"/>
      <c r="K32" s="1"/>
      <c r="L32" s="1"/>
      <c r="M32" s="3"/>
      <c r="N32" s="3"/>
      <c r="O32" s="3"/>
      <c r="P32" s="10"/>
      <c r="Q32" s="22"/>
      <c r="R32" s="22"/>
      <c r="S32" s="8"/>
      <c r="U32" s="3"/>
      <c r="V32" s="3"/>
      <c r="X32" s="3"/>
      <c r="Y32" s="3"/>
      <c r="Z32" s="3"/>
      <c r="AA32" s="3"/>
      <c r="AB32" s="3"/>
      <c r="AC32" s="3"/>
      <c r="AD32" s="3"/>
      <c r="AE32" s="3"/>
    </row>
    <row r="33" spans="1:31" ht="50.15" customHeight="1" thickTop="1">
      <c r="A33" s="1"/>
      <c r="B33" s="369" t="s">
        <v>145</v>
      </c>
      <c r="C33" s="370"/>
      <c r="D33" s="370"/>
      <c r="E33" s="370"/>
      <c r="F33" s="370"/>
      <c r="G33" s="370"/>
      <c r="H33" s="371"/>
      <c r="I33" s="371"/>
      <c r="J33" s="371"/>
      <c r="K33" s="372"/>
      <c r="L33" s="1"/>
      <c r="M33" s="3"/>
      <c r="N33" s="3"/>
      <c r="O33" s="3"/>
      <c r="P33" s="10"/>
      <c r="Q33" s="3"/>
      <c r="R33" s="3"/>
      <c r="S33" s="8"/>
      <c r="U33" s="3"/>
      <c r="V33" s="3"/>
      <c r="X33" s="3"/>
      <c r="Y33" s="3"/>
      <c r="Z33" s="3"/>
      <c r="AA33" s="3"/>
      <c r="AB33" s="3"/>
      <c r="AC33" s="3"/>
      <c r="AD33" s="3"/>
      <c r="AE33" s="3"/>
    </row>
    <row r="34" spans="1:31" ht="40.4" customHeight="1">
      <c r="A34" s="1"/>
      <c r="B34" s="41" t="s">
        <v>146</v>
      </c>
      <c r="C34" s="383" t="s">
        <v>147</v>
      </c>
      <c r="D34" s="383"/>
      <c r="E34" s="366" t="s">
        <v>148</v>
      </c>
      <c r="F34" s="347"/>
      <c r="G34" s="347" t="s">
        <v>149</v>
      </c>
      <c r="H34" s="367"/>
      <c r="I34" s="349" t="s">
        <v>150</v>
      </c>
      <c r="J34" s="352"/>
      <c r="K34" s="44" t="s">
        <v>151</v>
      </c>
      <c r="L34" s="1"/>
      <c r="M34" s="3"/>
      <c r="N34" s="3"/>
      <c r="O34" s="3"/>
      <c r="P34" s="10"/>
      <c r="Q34" s="3"/>
      <c r="R34" s="3"/>
      <c r="S34" s="8"/>
      <c r="U34" s="3"/>
      <c r="V34" s="3"/>
      <c r="X34" s="3"/>
      <c r="Y34" s="3"/>
      <c r="Z34" s="3"/>
      <c r="AA34" s="3"/>
      <c r="AB34" s="3"/>
      <c r="AC34" s="3"/>
      <c r="AD34" s="3"/>
      <c r="AE34" s="3"/>
    </row>
    <row r="35" spans="1:31" ht="30" customHeight="1" thickBot="1">
      <c r="A35" s="1"/>
      <c r="B35" s="48">
        <v>3</v>
      </c>
      <c r="C35" s="440">
        <v>3</v>
      </c>
      <c r="D35" s="441"/>
      <c r="E35" s="440">
        <v>3</v>
      </c>
      <c r="F35" s="441"/>
      <c r="G35" s="442">
        <v>2</v>
      </c>
      <c r="H35" s="442"/>
      <c r="I35" s="440">
        <v>2</v>
      </c>
      <c r="J35" s="441"/>
      <c r="K35" s="266">
        <f>IF(ISBLANK(I35),"Please complete the Privacy attribute",IF(I35=4,5,IF(I35=3,4,IF(I35=2,3,IF(I35=0,1,"Please check with gouvernance security teams to assess this attribute")))))</f>
        <v>3</v>
      </c>
      <c r="L35" s="1"/>
      <c r="M35" s="3"/>
      <c r="N35" s="3"/>
      <c r="O35" s="3"/>
      <c r="P35" s="10"/>
      <c r="Q35" s="3"/>
      <c r="R35" s="3"/>
      <c r="S35" s="8"/>
      <c r="U35" s="3"/>
      <c r="V35" s="3"/>
      <c r="X35" s="3"/>
      <c r="Y35" s="3"/>
      <c r="Z35" s="3"/>
      <c r="AA35" s="3"/>
      <c r="AB35" s="3"/>
      <c r="AC35" s="3"/>
      <c r="AD35" s="3"/>
      <c r="AE35" s="3"/>
    </row>
    <row r="36" spans="1:31" ht="50.15" customHeight="1" thickTop="1" thickBot="1">
      <c r="A36" s="1"/>
      <c r="B36" s="1"/>
      <c r="C36" s="1"/>
      <c r="D36" s="1"/>
      <c r="E36" s="1"/>
      <c r="F36" s="1"/>
      <c r="G36" s="265"/>
      <c r="H36" s="265"/>
      <c r="I36" s="9"/>
      <c r="J36" s="9"/>
      <c r="K36" s="9"/>
      <c r="L36" s="1"/>
      <c r="M36" s="3"/>
      <c r="N36" s="3"/>
      <c r="O36" s="3"/>
      <c r="P36" s="10"/>
      <c r="Q36" s="3"/>
      <c r="R36" s="3"/>
      <c r="S36" s="8"/>
      <c r="U36" s="3"/>
      <c r="V36" s="3"/>
      <c r="X36" s="3"/>
      <c r="Y36" s="3"/>
      <c r="Z36" s="3"/>
      <c r="AA36" s="3"/>
      <c r="AB36" s="3"/>
      <c r="AC36" s="3"/>
      <c r="AD36" s="3"/>
      <c r="AE36" s="3"/>
    </row>
    <row r="37" spans="1:31" ht="50.15" customHeight="1" thickTop="1">
      <c r="A37" s="1"/>
      <c r="B37" s="369" t="s">
        <v>152</v>
      </c>
      <c r="C37" s="370"/>
      <c r="D37" s="370"/>
      <c r="E37" s="370"/>
      <c r="F37" s="370"/>
      <c r="G37" s="370"/>
      <c r="H37" s="371"/>
      <c r="I37" s="371"/>
      <c r="J37" s="371"/>
      <c r="K37" s="372"/>
      <c r="L37" s="1"/>
      <c r="M37" s="3"/>
      <c r="N37" s="366" t="s">
        <v>146</v>
      </c>
      <c r="O37" s="367"/>
      <c r="P37" s="93"/>
      <c r="Q37" s="94"/>
      <c r="R37" s="94"/>
      <c r="S37" s="8"/>
      <c r="U37" s="3"/>
      <c r="V37" s="3"/>
      <c r="X37" s="3"/>
      <c r="Y37" s="3"/>
      <c r="Z37" s="3"/>
      <c r="AA37" s="3"/>
      <c r="AB37" s="3"/>
      <c r="AC37" s="3"/>
      <c r="AD37" s="3"/>
      <c r="AE37" s="3"/>
    </row>
    <row r="38" spans="1:31" ht="26.9" customHeight="1">
      <c r="A38" s="1"/>
      <c r="B38" s="353" t="s">
        <v>153</v>
      </c>
      <c r="C38" s="350"/>
      <c r="D38" s="350"/>
      <c r="E38" s="4" t="s">
        <v>154</v>
      </c>
      <c r="F38" s="383" t="s">
        <v>128</v>
      </c>
      <c r="G38" s="383"/>
      <c r="H38" s="349"/>
      <c r="I38" s="349"/>
      <c r="J38" s="349"/>
      <c r="K38" s="384"/>
      <c r="L38" s="1"/>
      <c r="M38" s="3"/>
      <c r="N38" s="108" t="s">
        <v>155</v>
      </c>
      <c r="O38" s="11" t="s">
        <v>156</v>
      </c>
      <c r="P38" s="3"/>
      <c r="Q38" s="22"/>
      <c r="R38" s="22"/>
      <c r="U38" s="3"/>
      <c r="V38" s="3"/>
      <c r="X38" s="3"/>
      <c r="Y38" s="3"/>
      <c r="Z38" s="3"/>
      <c r="AA38" s="3"/>
      <c r="AB38" s="3"/>
      <c r="AC38" s="3"/>
      <c r="AD38" s="3"/>
      <c r="AE38" s="3"/>
    </row>
    <row r="39" spans="1:31" ht="30" customHeight="1">
      <c r="A39" s="1"/>
      <c r="B39" s="373" t="s">
        <v>157</v>
      </c>
      <c r="C39" s="374"/>
      <c r="D39" s="49" t="s">
        <v>158</v>
      </c>
      <c r="E39" s="235"/>
      <c r="F39" s="375"/>
      <c r="G39" s="376"/>
      <c r="H39" s="376"/>
      <c r="I39" s="376"/>
      <c r="J39" s="376"/>
      <c r="K39" s="377"/>
      <c r="L39" s="1"/>
      <c r="M39" s="3"/>
      <c r="N39" s="109" t="s">
        <v>159</v>
      </c>
      <c r="O39" s="11" t="s">
        <v>160</v>
      </c>
      <c r="P39" s="3"/>
      <c r="Q39" s="3"/>
      <c r="R39" s="3"/>
      <c r="U39" s="3"/>
      <c r="V39" s="3"/>
      <c r="X39" s="3"/>
      <c r="Y39" s="3"/>
      <c r="Z39" s="3"/>
      <c r="AA39" s="3"/>
      <c r="AB39" s="3"/>
      <c r="AC39" s="3"/>
      <c r="AD39" s="3"/>
      <c r="AE39" s="3"/>
    </row>
    <row r="40" spans="1:31" ht="30" customHeight="1">
      <c r="A40" s="1"/>
      <c r="B40" s="373"/>
      <c r="C40" s="374"/>
      <c r="D40" s="49" t="s">
        <v>161</v>
      </c>
      <c r="E40" s="235"/>
      <c r="F40" s="375"/>
      <c r="G40" s="376"/>
      <c r="H40" s="376"/>
      <c r="I40" s="376"/>
      <c r="J40" s="376"/>
      <c r="K40" s="377"/>
      <c r="L40" s="1"/>
      <c r="M40" s="3"/>
      <c r="N40" s="110" t="s">
        <v>162</v>
      </c>
      <c r="O40" s="11" t="s">
        <v>163</v>
      </c>
      <c r="P40" s="3"/>
      <c r="Q40" s="3"/>
      <c r="R40" s="3"/>
      <c r="U40" s="3"/>
      <c r="V40" s="3"/>
      <c r="X40" s="3"/>
      <c r="Y40" s="3"/>
      <c r="Z40" s="3"/>
      <c r="AA40" s="3"/>
      <c r="AB40" s="3"/>
      <c r="AC40" s="3"/>
      <c r="AD40" s="3"/>
      <c r="AE40" s="3"/>
    </row>
    <row r="41" spans="1:31" ht="30" customHeight="1">
      <c r="A41" s="1"/>
      <c r="B41" s="373"/>
      <c r="C41" s="374"/>
      <c r="D41" s="49" t="s">
        <v>164</v>
      </c>
      <c r="E41" s="235" t="s">
        <v>165</v>
      </c>
      <c r="F41" s="375"/>
      <c r="G41" s="376"/>
      <c r="H41" s="376"/>
      <c r="I41" s="376"/>
      <c r="J41" s="376"/>
      <c r="K41" s="377"/>
      <c r="L41" s="1"/>
      <c r="M41" s="3"/>
      <c r="N41" s="111" t="s">
        <v>166</v>
      </c>
      <c r="O41" s="11" t="s">
        <v>167</v>
      </c>
      <c r="P41" s="3"/>
      <c r="Q41" s="3"/>
      <c r="R41" s="3"/>
      <c r="U41" s="3"/>
      <c r="V41" s="3"/>
      <c r="X41" s="3"/>
      <c r="Y41" s="3"/>
      <c r="Z41" s="3"/>
      <c r="AA41" s="3"/>
      <c r="AB41" s="3"/>
      <c r="AC41" s="3"/>
      <c r="AD41" s="3"/>
      <c r="AE41" s="3"/>
    </row>
    <row r="42" spans="1:31" ht="30" customHeight="1">
      <c r="A42" s="1"/>
      <c r="B42" s="373"/>
      <c r="C42" s="374"/>
      <c r="D42" s="49" t="s">
        <v>168</v>
      </c>
      <c r="E42" s="235"/>
      <c r="F42" s="375"/>
      <c r="G42" s="376"/>
      <c r="H42" s="376"/>
      <c r="I42" s="376"/>
      <c r="J42" s="376"/>
      <c r="K42" s="377"/>
      <c r="L42" s="1"/>
      <c r="M42" s="3"/>
      <c r="N42" s="364" t="s">
        <v>147</v>
      </c>
      <c r="O42" s="365"/>
      <c r="P42" s="3"/>
      <c r="Q42" s="3"/>
      <c r="R42" s="3"/>
      <c r="U42" s="3"/>
      <c r="V42" s="3"/>
      <c r="X42" s="3"/>
      <c r="Y42" s="3"/>
      <c r="Z42" s="3"/>
      <c r="AA42" s="3"/>
      <c r="AB42" s="3"/>
      <c r="AC42" s="3"/>
      <c r="AD42" s="3"/>
      <c r="AE42" s="3"/>
    </row>
    <row r="43" spans="1:31" ht="30" customHeight="1">
      <c r="A43" s="1"/>
      <c r="B43" s="373" t="s">
        <v>169</v>
      </c>
      <c r="C43" s="374"/>
      <c r="D43" s="49" t="s">
        <v>170</v>
      </c>
      <c r="E43" s="235"/>
      <c r="F43" s="375"/>
      <c r="G43" s="376"/>
      <c r="H43" s="376"/>
      <c r="I43" s="376"/>
      <c r="J43" s="376"/>
      <c r="K43" s="377"/>
      <c r="L43" s="1"/>
      <c r="M43" s="3"/>
      <c r="N43" s="108" t="s">
        <v>171</v>
      </c>
      <c r="O43" s="11" t="s">
        <v>172</v>
      </c>
      <c r="P43" s="3"/>
      <c r="Q43" s="3"/>
      <c r="R43" s="3"/>
      <c r="U43" s="3"/>
      <c r="V43" s="3"/>
      <c r="X43" s="3"/>
      <c r="Y43" s="3"/>
      <c r="Z43" s="3"/>
      <c r="AA43" s="3"/>
      <c r="AB43" s="3"/>
      <c r="AC43" s="3"/>
      <c r="AD43" s="3"/>
      <c r="AE43" s="3"/>
    </row>
    <row r="44" spans="1:31" ht="30" customHeight="1">
      <c r="A44" s="1"/>
      <c r="B44" s="373"/>
      <c r="C44" s="374"/>
      <c r="D44" s="49" t="s">
        <v>173</v>
      </c>
      <c r="E44" s="235"/>
      <c r="F44" s="375"/>
      <c r="G44" s="376"/>
      <c r="H44" s="376"/>
      <c r="I44" s="376"/>
      <c r="J44" s="376"/>
      <c r="K44" s="377"/>
      <c r="L44" s="1"/>
      <c r="M44" s="3"/>
      <c r="N44" s="109" t="s">
        <v>174</v>
      </c>
      <c r="O44" s="11" t="s">
        <v>175</v>
      </c>
      <c r="P44" s="3"/>
      <c r="Q44" s="3"/>
      <c r="R44" s="3"/>
      <c r="U44" s="3"/>
      <c r="V44" s="3"/>
      <c r="X44" s="3"/>
      <c r="Y44" s="3"/>
      <c r="Z44" s="3"/>
      <c r="AA44" s="3"/>
      <c r="AB44" s="3"/>
      <c r="AC44" s="3"/>
      <c r="AD44" s="3"/>
      <c r="AE44" s="3"/>
    </row>
    <row r="45" spans="1:31" ht="60" customHeight="1">
      <c r="A45" s="1"/>
      <c r="B45" s="373" t="s">
        <v>176</v>
      </c>
      <c r="C45" s="374"/>
      <c r="D45" s="49" t="s">
        <v>177</v>
      </c>
      <c r="E45" s="235"/>
      <c r="F45" s="375"/>
      <c r="G45" s="376"/>
      <c r="H45" s="376"/>
      <c r="I45" s="376"/>
      <c r="J45" s="376"/>
      <c r="K45" s="377"/>
      <c r="L45" s="1"/>
      <c r="M45" s="3"/>
      <c r="N45" s="110" t="s">
        <v>178</v>
      </c>
      <c r="O45" s="11" t="s">
        <v>179</v>
      </c>
      <c r="P45" s="3"/>
      <c r="Q45" s="3"/>
      <c r="R45" s="3"/>
      <c r="U45" s="3"/>
      <c r="V45" s="3"/>
      <c r="X45" s="3"/>
      <c r="Y45" s="3"/>
      <c r="Z45" s="3"/>
      <c r="AA45" s="3"/>
      <c r="AB45" s="3"/>
      <c r="AC45" s="3"/>
      <c r="AD45" s="3"/>
      <c r="AE45" s="3"/>
    </row>
    <row r="46" spans="1:31" ht="60" customHeight="1">
      <c r="A46" s="1"/>
      <c r="B46" s="373" t="s">
        <v>180</v>
      </c>
      <c r="C46" s="374"/>
      <c r="D46" s="49" t="s">
        <v>181</v>
      </c>
      <c r="E46" s="235"/>
      <c r="F46" s="375"/>
      <c r="G46" s="376"/>
      <c r="H46" s="376"/>
      <c r="I46" s="376"/>
      <c r="J46" s="376"/>
      <c r="K46" s="377"/>
      <c r="L46" s="1"/>
      <c r="M46" s="3"/>
      <c r="N46" s="111" t="s">
        <v>182</v>
      </c>
      <c r="O46" s="11" t="s">
        <v>183</v>
      </c>
      <c r="P46" s="3"/>
      <c r="Q46" s="3"/>
      <c r="R46" s="3"/>
      <c r="U46" s="3"/>
      <c r="V46" s="3"/>
      <c r="X46" s="3"/>
      <c r="Y46" s="3"/>
      <c r="Z46" s="3"/>
      <c r="AA46" s="3"/>
      <c r="AB46" s="3"/>
      <c r="AC46" s="3"/>
      <c r="AD46" s="3"/>
      <c r="AE46" s="3"/>
    </row>
    <row r="47" spans="1:31" ht="30" customHeight="1">
      <c r="A47" s="1"/>
      <c r="B47" s="373" t="s">
        <v>184</v>
      </c>
      <c r="C47" s="374"/>
      <c r="D47" s="49" t="s">
        <v>185</v>
      </c>
      <c r="E47" s="235"/>
      <c r="F47" s="375"/>
      <c r="G47" s="376"/>
      <c r="H47" s="376"/>
      <c r="I47" s="376"/>
      <c r="J47" s="376"/>
      <c r="K47" s="377"/>
      <c r="L47" s="1"/>
      <c r="M47" s="3"/>
      <c r="N47" s="364" t="s">
        <v>186</v>
      </c>
      <c r="O47" s="365"/>
      <c r="P47" s="3"/>
      <c r="Q47" s="3"/>
      <c r="R47" s="3"/>
      <c r="U47" s="3"/>
      <c r="V47" s="3"/>
      <c r="X47" s="3"/>
      <c r="Y47" s="3"/>
      <c r="Z47" s="3"/>
      <c r="AA47" s="3"/>
      <c r="AB47" s="3"/>
      <c r="AC47" s="3"/>
      <c r="AD47" s="3"/>
      <c r="AE47" s="3"/>
    </row>
    <row r="48" spans="1:31" ht="39" customHeight="1" thickBot="1">
      <c r="A48" s="1"/>
      <c r="B48" s="378"/>
      <c r="C48" s="379"/>
      <c r="D48" s="50" t="s">
        <v>187</v>
      </c>
      <c r="E48" s="236"/>
      <c r="F48" s="380"/>
      <c r="G48" s="381"/>
      <c r="H48" s="381"/>
      <c r="I48" s="381"/>
      <c r="J48" s="381"/>
      <c r="K48" s="382"/>
      <c r="L48" s="1"/>
      <c r="M48" s="3"/>
      <c r="N48" s="108" t="s">
        <v>188</v>
      </c>
      <c r="O48" s="11" t="s">
        <v>189</v>
      </c>
      <c r="P48" s="3"/>
      <c r="Q48" s="3"/>
      <c r="R48" s="3"/>
      <c r="U48" s="3"/>
      <c r="V48" s="3"/>
      <c r="X48" s="3"/>
      <c r="Y48" s="3"/>
      <c r="Z48" s="3"/>
      <c r="AA48" s="3"/>
      <c r="AB48" s="3"/>
      <c r="AC48" s="3"/>
      <c r="AD48" s="3"/>
      <c r="AE48" s="3"/>
    </row>
    <row r="49" spans="1:31" ht="50.15" customHeight="1" thickTop="1" thickBot="1">
      <c r="A49" s="1"/>
      <c r="B49" s="1"/>
      <c r="C49" s="1"/>
      <c r="D49" s="1"/>
      <c r="E49" s="1"/>
      <c r="F49" s="1"/>
      <c r="G49" s="1"/>
      <c r="H49" s="1"/>
      <c r="I49" s="1"/>
      <c r="J49" s="1"/>
      <c r="K49" s="1"/>
      <c r="L49" s="1"/>
      <c r="M49" s="3"/>
      <c r="N49" s="109" t="s">
        <v>190</v>
      </c>
      <c r="O49" s="11" t="s">
        <v>191</v>
      </c>
      <c r="P49" s="3"/>
      <c r="Q49" s="3"/>
      <c r="R49" s="3"/>
      <c r="U49" s="3"/>
      <c r="V49" s="3"/>
      <c r="X49" s="3"/>
      <c r="Y49" s="3"/>
      <c r="Z49" s="3"/>
      <c r="AA49" s="3"/>
      <c r="AB49" s="3"/>
      <c r="AC49" s="3"/>
      <c r="AD49" s="3"/>
      <c r="AE49" s="3"/>
    </row>
    <row r="50" spans="1:31" ht="50.15" customHeight="1" thickTop="1">
      <c r="A50" s="1"/>
      <c r="B50" s="369" t="s">
        <v>192</v>
      </c>
      <c r="C50" s="370"/>
      <c r="D50" s="370"/>
      <c r="E50" s="370"/>
      <c r="F50" s="370"/>
      <c r="G50" s="370"/>
      <c r="H50" s="371"/>
      <c r="I50" s="371"/>
      <c r="J50" s="371"/>
      <c r="K50" s="372"/>
      <c r="L50" s="1"/>
      <c r="M50" s="3"/>
      <c r="N50" s="110" t="s">
        <v>193</v>
      </c>
      <c r="O50" s="95" t="s">
        <v>194</v>
      </c>
      <c r="P50" s="3"/>
      <c r="Q50" s="3"/>
      <c r="R50" s="3"/>
      <c r="U50" s="3"/>
      <c r="V50" s="3"/>
      <c r="X50" s="3"/>
      <c r="Y50" s="3"/>
      <c r="Z50" s="3"/>
      <c r="AA50" s="3"/>
      <c r="AB50" s="3"/>
      <c r="AC50" s="3"/>
      <c r="AD50" s="3"/>
      <c r="AE50" s="3"/>
    </row>
    <row r="51" spans="1:31" ht="26.9" customHeight="1">
      <c r="A51" s="12"/>
      <c r="B51" s="425" t="s">
        <v>195</v>
      </c>
      <c r="C51" s="426"/>
      <c r="D51" s="426"/>
      <c r="E51" s="426"/>
      <c r="F51" s="426"/>
      <c r="G51" s="426"/>
      <c r="H51" s="426"/>
      <c r="I51" s="426"/>
      <c r="J51" s="426"/>
      <c r="K51" s="427"/>
      <c r="L51" s="13"/>
      <c r="M51" s="3"/>
      <c r="N51" s="111" t="s">
        <v>196</v>
      </c>
      <c r="O51" s="95" t="s">
        <v>197</v>
      </c>
      <c r="P51" s="3"/>
      <c r="Q51" s="3"/>
      <c r="R51" s="3"/>
      <c r="U51" s="3"/>
      <c r="V51" s="3"/>
      <c r="X51" s="3"/>
      <c r="Y51" s="3"/>
      <c r="Z51" s="3"/>
      <c r="AA51" s="3"/>
      <c r="AB51" s="3"/>
      <c r="AC51" s="3"/>
      <c r="AD51" s="3"/>
      <c r="AE51" s="3"/>
    </row>
    <row r="52" spans="1:31" ht="17.5">
      <c r="A52" s="12"/>
      <c r="B52" s="318" t="s">
        <v>198</v>
      </c>
      <c r="C52" s="393"/>
      <c r="D52" s="394" t="s">
        <v>108</v>
      </c>
      <c r="E52" s="376"/>
      <c r="F52" s="376"/>
      <c r="G52" s="376"/>
      <c r="H52" s="376"/>
      <c r="I52" s="376"/>
      <c r="J52" s="376"/>
      <c r="K52" s="377"/>
      <c r="L52" s="13"/>
      <c r="M52" s="3"/>
      <c r="N52" s="364" t="s">
        <v>149</v>
      </c>
      <c r="O52" s="365"/>
      <c r="P52" s="3"/>
      <c r="Q52" s="3"/>
      <c r="R52" s="3"/>
      <c r="U52" s="3"/>
      <c r="V52" s="3"/>
      <c r="X52" s="3"/>
      <c r="Y52" s="3"/>
      <c r="Z52" s="3"/>
      <c r="AA52" s="3"/>
      <c r="AB52" s="3"/>
      <c r="AC52" s="3"/>
      <c r="AD52" s="3"/>
      <c r="AE52" s="3"/>
    </row>
    <row r="53" spans="1:31" ht="17.5">
      <c r="A53" s="12"/>
      <c r="B53" s="318" t="s">
        <v>199</v>
      </c>
      <c r="C53" s="393"/>
      <c r="D53" s="394" t="s">
        <v>108</v>
      </c>
      <c r="E53" s="376"/>
      <c r="F53" s="376"/>
      <c r="G53" s="376"/>
      <c r="H53" s="376"/>
      <c r="I53" s="376"/>
      <c r="J53" s="376"/>
      <c r="K53" s="377"/>
      <c r="L53" s="13"/>
      <c r="M53" s="3"/>
      <c r="N53" s="104" t="s">
        <v>188</v>
      </c>
      <c r="O53" s="11" t="s">
        <v>200</v>
      </c>
      <c r="P53" s="3"/>
      <c r="Q53" s="3"/>
      <c r="R53" s="3"/>
      <c r="U53" s="3"/>
      <c r="V53" s="3"/>
      <c r="X53" s="3"/>
      <c r="Y53" s="3"/>
      <c r="Z53" s="3"/>
      <c r="AA53" s="3"/>
      <c r="AB53" s="3"/>
      <c r="AC53" s="3"/>
      <c r="AD53" s="3"/>
      <c r="AE53" s="3"/>
    </row>
    <row r="54" spans="1:31" ht="17.5">
      <c r="A54" s="12"/>
      <c r="B54" s="318" t="s">
        <v>201</v>
      </c>
      <c r="C54" s="393"/>
      <c r="D54" s="394" t="s">
        <v>108</v>
      </c>
      <c r="E54" s="376"/>
      <c r="F54" s="376"/>
      <c r="G54" s="376"/>
      <c r="H54" s="376"/>
      <c r="I54" s="376"/>
      <c r="J54" s="376"/>
      <c r="K54" s="377"/>
      <c r="L54" s="13"/>
      <c r="M54" s="3"/>
      <c r="N54" s="105" t="s">
        <v>202</v>
      </c>
      <c r="O54" s="11" t="s">
        <v>203</v>
      </c>
      <c r="P54" s="3"/>
      <c r="Q54" s="3"/>
      <c r="R54" s="3"/>
      <c r="U54" s="3"/>
      <c r="V54" s="3"/>
      <c r="X54" s="3"/>
      <c r="Y54" s="3"/>
      <c r="Z54" s="3"/>
      <c r="AA54" s="3"/>
      <c r="AB54" s="3"/>
      <c r="AC54" s="3"/>
      <c r="AD54" s="3"/>
      <c r="AE54" s="3"/>
    </row>
    <row r="55" spans="1:31" ht="17.5">
      <c r="A55" s="12"/>
      <c r="B55" s="318" t="s">
        <v>204</v>
      </c>
      <c r="C55" s="393"/>
      <c r="D55" s="394" t="s">
        <v>108</v>
      </c>
      <c r="E55" s="376"/>
      <c r="F55" s="376"/>
      <c r="G55" s="376"/>
      <c r="H55" s="376"/>
      <c r="I55" s="376"/>
      <c r="J55" s="376"/>
      <c r="K55" s="377"/>
      <c r="L55" s="13"/>
      <c r="M55" s="3"/>
      <c r="N55" s="106" t="s">
        <v>205</v>
      </c>
      <c r="O55" s="11" t="s">
        <v>206</v>
      </c>
      <c r="P55" s="3"/>
      <c r="Q55" s="3"/>
      <c r="R55" s="3"/>
      <c r="U55" s="3"/>
      <c r="V55" s="3"/>
      <c r="X55" s="3"/>
      <c r="Y55" s="3"/>
      <c r="Z55" s="3"/>
      <c r="AA55" s="3"/>
      <c r="AB55" s="3"/>
      <c r="AC55" s="3"/>
      <c r="AD55" s="3"/>
      <c r="AE55" s="3"/>
    </row>
    <row r="56" spans="1:31" ht="32.5" customHeight="1">
      <c r="A56" s="12"/>
      <c r="B56" s="318" t="s">
        <v>207</v>
      </c>
      <c r="C56" s="393"/>
      <c r="D56" s="394" t="s">
        <v>108</v>
      </c>
      <c r="E56" s="376"/>
      <c r="F56" s="376"/>
      <c r="G56" s="376"/>
      <c r="H56" s="376"/>
      <c r="I56" s="376"/>
      <c r="J56" s="376"/>
      <c r="K56" s="377"/>
      <c r="L56" s="13"/>
      <c r="M56" s="3"/>
      <c r="N56" s="107" t="s">
        <v>196</v>
      </c>
      <c r="O56" s="95" t="s">
        <v>208</v>
      </c>
      <c r="P56" s="3"/>
      <c r="Q56" s="3"/>
      <c r="R56" s="3"/>
      <c r="U56" s="3"/>
      <c r="V56" s="3"/>
      <c r="X56" s="3"/>
      <c r="Y56" s="3"/>
      <c r="Z56" s="3"/>
      <c r="AA56" s="3"/>
      <c r="AB56" s="3"/>
      <c r="AC56" s="3"/>
      <c r="AD56" s="3"/>
      <c r="AE56" s="3"/>
    </row>
    <row r="57" spans="1:31" ht="17.5">
      <c r="A57" s="12"/>
      <c r="B57" s="318" t="s">
        <v>209</v>
      </c>
      <c r="C57" s="393"/>
      <c r="D57" s="394" t="s">
        <v>108</v>
      </c>
      <c r="E57" s="376"/>
      <c r="F57" s="376"/>
      <c r="G57" s="376"/>
      <c r="H57" s="376"/>
      <c r="I57" s="376"/>
      <c r="J57" s="376"/>
      <c r="K57" s="377"/>
      <c r="L57" s="13"/>
      <c r="M57" s="3"/>
      <c r="N57" s="364" t="s">
        <v>150</v>
      </c>
      <c r="O57" s="365"/>
      <c r="P57" s="3"/>
      <c r="Q57" s="3"/>
      <c r="R57" s="3"/>
      <c r="U57" s="3"/>
      <c r="V57" s="3"/>
      <c r="X57" s="3"/>
      <c r="Y57" s="3"/>
      <c r="Z57" s="3"/>
      <c r="AA57" s="3"/>
      <c r="AB57" s="3"/>
      <c r="AC57" s="3"/>
      <c r="AD57" s="3"/>
      <c r="AE57" s="3"/>
    </row>
    <row r="58" spans="1:31" ht="29.15" customHeight="1" thickBot="1">
      <c r="A58" s="12"/>
      <c r="B58" s="312" t="s">
        <v>210</v>
      </c>
      <c r="C58" s="401"/>
      <c r="D58" s="436"/>
      <c r="E58" s="381"/>
      <c r="F58" s="381"/>
      <c r="G58" s="381"/>
      <c r="H58" s="381"/>
      <c r="I58" s="381"/>
      <c r="J58" s="381"/>
      <c r="K58" s="382"/>
      <c r="L58" s="13"/>
      <c r="M58" s="3"/>
      <c r="N58" s="102">
        <v>0</v>
      </c>
      <c r="O58" s="11" t="s">
        <v>211</v>
      </c>
      <c r="P58" s="3"/>
      <c r="Q58" s="3"/>
      <c r="R58" s="3"/>
      <c r="U58" s="3"/>
      <c r="V58" s="3"/>
      <c r="X58" s="3"/>
      <c r="Y58" s="3"/>
      <c r="Z58" s="3"/>
      <c r="AA58" s="3"/>
      <c r="AB58" s="3"/>
      <c r="AC58" s="3"/>
      <c r="AD58" s="3"/>
      <c r="AE58" s="3"/>
    </row>
    <row r="59" spans="1:31" ht="18.5" thickTop="1" thickBot="1">
      <c r="A59" s="12"/>
      <c r="B59" s="14"/>
      <c r="C59" s="13"/>
      <c r="D59" s="15"/>
      <c r="E59" s="16"/>
      <c r="F59" s="17"/>
      <c r="G59" s="16"/>
      <c r="H59" s="16"/>
      <c r="I59" s="16"/>
      <c r="J59" s="16"/>
      <c r="K59" s="16"/>
      <c r="L59" s="13"/>
      <c r="M59" s="3"/>
      <c r="N59" s="103">
        <v>2</v>
      </c>
      <c r="O59" s="11" t="s">
        <v>212</v>
      </c>
      <c r="P59" s="3"/>
      <c r="Q59" s="3"/>
      <c r="R59" s="3"/>
      <c r="U59" s="3"/>
      <c r="V59" s="3"/>
      <c r="X59" s="3"/>
      <c r="Y59" s="3"/>
      <c r="Z59" s="3"/>
      <c r="AA59" s="3"/>
      <c r="AB59" s="3"/>
      <c r="AC59" s="3"/>
      <c r="AD59" s="3"/>
      <c r="AE59" s="3"/>
    </row>
    <row r="60" spans="1:31" ht="50.15" customHeight="1" thickTop="1">
      <c r="A60" s="12"/>
      <c r="B60" s="388" t="s">
        <v>213</v>
      </c>
      <c r="C60" s="389"/>
      <c r="D60" s="389"/>
      <c r="E60" s="389"/>
      <c r="F60" s="389"/>
      <c r="G60" s="389"/>
      <c r="H60" s="389"/>
      <c r="I60" s="389"/>
      <c r="J60" s="389"/>
      <c r="K60" s="390"/>
      <c r="L60" s="13"/>
      <c r="M60" s="3"/>
      <c r="N60" s="103">
        <v>2</v>
      </c>
      <c r="O60" s="11" t="s">
        <v>214</v>
      </c>
      <c r="P60" s="3"/>
      <c r="Q60" s="3"/>
      <c r="R60" s="3"/>
      <c r="U60" s="3"/>
      <c r="V60" s="3"/>
      <c r="X60" s="3"/>
      <c r="Y60" s="3"/>
      <c r="Z60" s="3"/>
      <c r="AA60" s="3"/>
      <c r="AB60" s="3"/>
      <c r="AC60" s="3"/>
      <c r="AD60" s="3"/>
      <c r="AE60" s="3"/>
    </row>
    <row r="61" spans="1:31" ht="23.15" customHeight="1">
      <c r="A61" s="12"/>
      <c r="B61" s="391" t="s">
        <v>215</v>
      </c>
      <c r="C61" s="392"/>
      <c r="D61" s="18">
        <f>IF(I35=0,SUM(B35:G35)*K35*'1 - General description'!B16*'1 - General description'!D16,SUM(B35:G35)*I35*K35*'1 - General description'!B16*'1 - General description'!D16)</f>
        <v>396</v>
      </c>
      <c r="E61" s="428" t="s">
        <v>216</v>
      </c>
      <c r="F61" s="429" t="str">
        <f>IF(C64&gt;=86,"Critical Risk",IF(C64&gt;=60,"High Risk",IF(C64&gt;=33,"Medium",IF(C64&gt;0,"Low",0))))</f>
        <v>Medium</v>
      </c>
      <c r="G61" s="243"/>
      <c r="H61" s="243"/>
      <c r="I61" s="244" t="s">
        <v>217</v>
      </c>
      <c r="J61" s="395" t="str">
        <f>IF(D61&gt;=2000,"Very Sensitive",IF(D61&gt;=700,"Sensitive",IF(D61&gt;=200,"Medium",IF(D61&gt;0,"Low",0))))</f>
        <v>Medium</v>
      </c>
      <c r="K61" s="400"/>
      <c r="L61" s="13"/>
      <c r="M61" s="3"/>
      <c r="N61" s="103">
        <v>2</v>
      </c>
      <c r="O61" s="11" t="s">
        <v>218</v>
      </c>
      <c r="P61" s="3"/>
      <c r="Q61" s="3"/>
      <c r="R61" s="3"/>
      <c r="U61" s="3"/>
      <c r="V61" s="3"/>
      <c r="X61" s="3"/>
      <c r="Y61" s="3"/>
      <c r="Z61" s="3"/>
      <c r="AA61" s="3"/>
      <c r="AB61" s="3"/>
      <c r="AC61" s="3"/>
      <c r="AD61" s="3"/>
      <c r="AE61" s="3"/>
    </row>
    <row r="62" spans="1:31" ht="18.5">
      <c r="A62" s="12"/>
      <c r="B62" s="53" t="s">
        <v>219</v>
      </c>
      <c r="C62" s="175">
        <f>B35+E35+K35+'1 - General description'!B16</f>
        <v>11</v>
      </c>
      <c r="D62" s="51"/>
      <c r="E62" s="428"/>
      <c r="F62" s="429"/>
      <c r="G62" s="243"/>
      <c r="H62" s="243"/>
      <c r="I62" s="244"/>
      <c r="J62" s="395"/>
      <c r="K62" s="400"/>
      <c r="L62" s="13"/>
      <c r="M62" s="3"/>
      <c r="N62" s="103">
        <v>3</v>
      </c>
      <c r="O62" s="95" t="s">
        <v>220</v>
      </c>
      <c r="P62" s="3"/>
      <c r="Q62" s="3"/>
      <c r="R62" s="3"/>
      <c r="U62" s="3"/>
      <c r="V62" s="3"/>
      <c r="X62" s="3"/>
      <c r="Y62" s="3"/>
      <c r="Z62" s="3"/>
      <c r="AA62" s="3"/>
      <c r="AB62" s="3"/>
      <c r="AC62" s="3"/>
      <c r="AD62" s="3"/>
      <c r="AE62" s="3"/>
    </row>
    <row r="63" spans="1:31" ht="18.5">
      <c r="A63" s="12"/>
      <c r="B63" s="54" t="s">
        <v>221</v>
      </c>
      <c r="C63" s="176">
        <f>'1 - General description'!B16+'1 - General description'!D16</f>
        <v>5</v>
      </c>
      <c r="D63" s="51"/>
      <c r="E63" s="403" t="s">
        <v>1625</v>
      </c>
      <c r="F63" s="437" t="str">
        <f>IF(C15="Yes","Required","Not Required")</f>
        <v>Not Required</v>
      </c>
      <c r="G63" s="243"/>
      <c r="H63" s="241"/>
      <c r="I63" s="245" t="s">
        <v>222</v>
      </c>
      <c r="J63" s="434" t="str">
        <f>IF(E27="Yes","Required","Not Required")</f>
        <v>Not Required</v>
      </c>
      <c r="K63" s="430"/>
      <c r="L63" s="13"/>
      <c r="M63" s="3"/>
      <c r="N63" s="103">
        <v>3</v>
      </c>
      <c r="O63" s="11" t="s">
        <v>223</v>
      </c>
      <c r="P63" s="3"/>
      <c r="Q63" s="3"/>
      <c r="R63" s="3"/>
      <c r="U63" s="3"/>
      <c r="V63" s="3"/>
      <c r="X63" s="3"/>
      <c r="Y63" s="3"/>
      <c r="Z63" s="3"/>
      <c r="AA63" s="3"/>
      <c r="AB63" s="3"/>
      <c r="AC63" s="3"/>
      <c r="AD63" s="3"/>
      <c r="AE63" s="3"/>
    </row>
    <row r="64" spans="1:31" ht="19" thickBot="1">
      <c r="A64" s="12"/>
      <c r="B64" s="55" t="s">
        <v>216</v>
      </c>
      <c r="C64" s="177">
        <f>C62*C63</f>
        <v>55</v>
      </c>
      <c r="D64" s="52"/>
      <c r="E64" s="404"/>
      <c r="F64" s="438"/>
      <c r="G64" s="242"/>
      <c r="H64" s="242"/>
      <c r="I64" s="246"/>
      <c r="J64" s="435"/>
      <c r="K64" s="431"/>
      <c r="L64" s="13"/>
      <c r="M64" s="3"/>
      <c r="N64" s="103">
        <v>3</v>
      </c>
      <c r="O64" s="95" t="s">
        <v>224</v>
      </c>
      <c r="P64" s="3"/>
      <c r="Q64" s="3"/>
      <c r="R64" s="3"/>
      <c r="U64" s="3"/>
      <c r="V64" s="3"/>
      <c r="X64" s="3"/>
      <c r="Y64" s="3"/>
      <c r="Z64" s="3"/>
      <c r="AA64" s="3"/>
      <c r="AB64" s="3"/>
      <c r="AC64" s="3"/>
      <c r="AD64" s="3"/>
      <c r="AE64" s="3"/>
    </row>
    <row r="65" spans="1:31" ht="18.5" thickTop="1" thickBot="1">
      <c r="A65" s="12"/>
      <c r="B65" s="14"/>
      <c r="C65" s="13"/>
      <c r="D65" s="15"/>
      <c r="E65" s="16"/>
      <c r="F65" s="17"/>
      <c r="G65" s="16"/>
      <c r="H65" s="16"/>
      <c r="I65" s="16"/>
      <c r="J65" s="16"/>
      <c r="K65" s="179"/>
      <c r="L65" s="13"/>
      <c r="M65" s="3"/>
      <c r="N65" s="103">
        <v>3</v>
      </c>
      <c r="O65" s="95" t="s">
        <v>225</v>
      </c>
      <c r="P65" s="3"/>
      <c r="Q65" s="3"/>
      <c r="R65" s="3"/>
      <c r="U65" s="3"/>
      <c r="V65" s="3"/>
      <c r="X65" s="3"/>
      <c r="Y65" s="3"/>
      <c r="Z65" s="3"/>
      <c r="AA65" s="3"/>
      <c r="AB65" s="3"/>
      <c r="AC65" s="3"/>
      <c r="AD65" s="3"/>
      <c r="AE65" s="3"/>
    </row>
    <row r="66" spans="1:31" ht="50.15" customHeight="1" thickTop="1">
      <c r="A66" s="12"/>
      <c r="B66" s="369" t="s">
        <v>226</v>
      </c>
      <c r="C66" s="389"/>
      <c r="D66" s="389"/>
      <c r="E66" s="389"/>
      <c r="F66" s="389"/>
      <c r="G66" s="389"/>
      <c r="H66" s="389"/>
      <c r="I66" s="389"/>
      <c r="J66" s="389"/>
      <c r="K66" s="390"/>
      <c r="L66" s="13"/>
      <c r="M66" s="3"/>
      <c r="N66" s="103">
        <v>3</v>
      </c>
      <c r="O66" s="95" t="s">
        <v>227</v>
      </c>
      <c r="P66" s="3"/>
      <c r="Q66" s="3"/>
      <c r="R66" s="3"/>
      <c r="U66" s="3"/>
      <c r="V66" s="3"/>
      <c r="X66" s="3"/>
      <c r="Y66" s="3"/>
      <c r="Z66" s="3"/>
      <c r="AA66" s="3"/>
      <c r="AB66" s="3"/>
      <c r="AC66" s="3"/>
      <c r="AD66" s="3"/>
      <c r="AE66" s="3"/>
    </row>
    <row r="67" spans="1:31" ht="37.5" customHeight="1">
      <c r="A67" s="12"/>
      <c r="B67" s="402" t="s">
        <v>228</v>
      </c>
      <c r="C67" s="397"/>
      <c r="D67" s="397"/>
      <c r="E67" s="396" t="s">
        <v>229</v>
      </c>
      <c r="F67" s="397"/>
      <c r="G67" s="397" t="s">
        <v>230</v>
      </c>
      <c r="H67" s="397"/>
      <c r="I67" s="397"/>
      <c r="J67" s="397"/>
      <c r="K67" s="406"/>
      <c r="L67" s="12"/>
      <c r="M67" s="3"/>
      <c r="N67" s="103">
        <v>4</v>
      </c>
      <c r="O67" s="95" t="s">
        <v>231</v>
      </c>
      <c r="P67" s="3"/>
      <c r="Q67" s="3"/>
      <c r="R67" s="3"/>
      <c r="U67" s="3"/>
      <c r="V67" s="3"/>
      <c r="X67" s="3"/>
      <c r="Y67" s="3"/>
      <c r="Z67" s="3"/>
      <c r="AA67" s="3"/>
      <c r="AB67" s="3"/>
      <c r="AC67" s="3"/>
      <c r="AD67" s="3"/>
      <c r="AE67" s="3"/>
    </row>
    <row r="68" spans="1:31" ht="60" customHeight="1">
      <c r="A68" s="12"/>
      <c r="B68" s="385" t="s">
        <v>232</v>
      </c>
      <c r="C68" s="386"/>
      <c r="D68" s="386"/>
      <c r="E68" s="398" t="s">
        <v>233</v>
      </c>
      <c r="F68" s="399"/>
      <c r="G68" s="432"/>
      <c r="H68" s="433"/>
      <c r="I68" s="433"/>
      <c r="J68" s="433"/>
      <c r="K68" s="433"/>
      <c r="L68" s="268"/>
      <c r="M68" s="3"/>
      <c r="N68" s="103">
        <v>4</v>
      </c>
      <c r="O68" s="95" t="s">
        <v>234</v>
      </c>
      <c r="P68" s="3"/>
      <c r="Q68" s="3"/>
      <c r="R68" s="3"/>
      <c r="U68" s="3"/>
      <c r="V68" s="3"/>
      <c r="X68" s="3"/>
      <c r="Y68" s="3"/>
      <c r="Z68" s="3"/>
      <c r="AA68" s="3"/>
      <c r="AB68" s="3"/>
      <c r="AC68" s="3"/>
      <c r="AD68" s="3"/>
      <c r="AE68" s="3"/>
    </row>
    <row r="69" spans="1:31" ht="71.5" customHeight="1">
      <c r="A69" s="12"/>
      <c r="B69" s="385" t="s">
        <v>235</v>
      </c>
      <c r="C69" s="386"/>
      <c r="D69" s="387"/>
      <c r="E69" s="398" t="str" cm="1">
        <f t="array" ref="E69">IF(OR(F5:F14="External Employee",F5:F14="Supplier"),"TO DO","Not Applicable")</f>
        <v>Not Applicable</v>
      </c>
      <c r="F69" s="399"/>
      <c r="G69" s="432"/>
      <c r="H69" s="433"/>
      <c r="I69" s="433"/>
      <c r="J69" s="433"/>
      <c r="K69" s="433"/>
      <c r="L69" s="268"/>
      <c r="M69" s="3"/>
      <c r="N69" s="368" t="s">
        <v>236</v>
      </c>
      <c r="O69" s="368"/>
      <c r="P69" s="3"/>
      <c r="Q69" s="3"/>
      <c r="R69" s="3"/>
      <c r="U69" s="3"/>
      <c r="V69" s="3"/>
      <c r="X69" s="3"/>
      <c r="Y69" s="3"/>
      <c r="Z69" s="3"/>
      <c r="AA69" s="3"/>
      <c r="AB69" s="3"/>
      <c r="AC69" s="3"/>
      <c r="AD69" s="3"/>
      <c r="AE69" s="3"/>
    </row>
    <row r="70" spans="1:31" ht="41.15" customHeight="1">
      <c r="A70" s="12"/>
      <c r="B70" s="385" t="s">
        <v>237</v>
      </c>
      <c r="C70" s="386"/>
      <c r="D70" s="386"/>
      <c r="E70" s="398" t="str">
        <f>IF(OR(F61="High Risk",F61="Medium"),"TO DO","Not Applicable")</f>
        <v>TO DO</v>
      </c>
      <c r="F70" s="399"/>
      <c r="G70" s="432"/>
      <c r="H70" s="433"/>
      <c r="I70" s="433"/>
      <c r="J70" s="433"/>
      <c r="K70" s="433"/>
      <c r="L70" s="268"/>
      <c r="M70" s="3"/>
      <c r="N70" s="97">
        <v>5</v>
      </c>
      <c r="O70" s="96" t="s">
        <v>238</v>
      </c>
      <c r="P70" s="3"/>
      <c r="Q70" s="3"/>
      <c r="R70" s="3"/>
      <c r="U70" s="3"/>
      <c r="V70" s="3"/>
      <c r="X70" s="3"/>
      <c r="Y70" s="3"/>
      <c r="Z70" s="3"/>
      <c r="AA70" s="3"/>
      <c r="AB70" s="3"/>
      <c r="AC70" s="3"/>
      <c r="AD70" s="3"/>
      <c r="AE70" s="3"/>
    </row>
    <row r="71" spans="1:31" ht="32.15" customHeight="1">
      <c r="A71" s="12"/>
      <c r="B71" s="385" t="s">
        <v>1617</v>
      </c>
      <c r="C71" s="386"/>
      <c r="D71" s="387"/>
      <c r="E71" s="398" t="str" cm="1">
        <f t="array" ref="E71">IF(OR(F61="High Risk",'1 - General description'!C11:G11="Internet",'1 - General description'!C11:G11="Cloud/SaaS",'2 - Qualification'!C12="Yes"),"TO DO","Not Applicable")</f>
        <v>TO DO</v>
      </c>
      <c r="F71" s="399"/>
      <c r="G71" s="432"/>
      <c r="H71" s="433"/>
      <c r="I71" s="433"/>
      <c r="J71" s="433"/>
      <c r="K71" s="433"/>
      <c r="L71" s="268"/>
      <c r="M71" s="3"/>
      <c r="N71" s="98">
        <v>4</v>
      </c>
      <c r="O71" s="96" t="s">
        <v>239</v>
      </c>
      <c r="P71" s="3"/>
      <c r="Q71" s="3"/>
      <c r="R71" s="3"/>
      <c r="U71" s="3"/>
      <c r="V71" s="3"/>
      <c r="X71" s="3"/>
      <c r="Y71" s="3"/>
      <c r="Z71" s="3"/>
      <c r="AA71" s="3"/>
      <c r="AB71" s="3"/>
      <c r="AC71" s="3"/>
      <c r="AD71" s="3"/>
      <c r="AE71" s="3"/>
    </row>
    <row r="72" spans="1:31" ht="46.4" customHeight="1">
      <c r="A72" s="12"/>
      <c r="B72" s="385" t="s">
        <v>1618</v>
      </c>
      <c r="C72" s="386"/>
      <c r="D72" s="387"/>
      <c r="E72" s="398" t="str">
        <f>IF(OR(F61="High Risk",F61="Medium"),"TO DO","Not Applicable")</f>
        <v>TO DO</v>
      </c>
      <c r="F72" s="399"/>
      <c r="G72" s="432"/>
      <c r="H72" s="433"/>
      <c r="I72" s="433"/>
      <c r="J72" s="433"/>
      <c r="K72" s="433"/>
      <c r="L72" s="268"/>
      <c r="M72" s="3"/>
      <c r="N72" s="99">
        <v>3</v>
      </c>
      <c r="O72" s="96" t="s">
        <v>240</v>
      </c>
      <c r="P72" s="3"/>
      <c r="Q72" s="3"/>
      <c r="R72" s="3"/>
      <c r="U72" s="3"/>
      <c r="V72" s="3"/>
      <c r="X72" s="3"/>
      <c r="Y72" s="3"/>
      <c r="Z72" s="3"/>
      <c r="AA72" s="3"/>
      <c r="AB72" s="3"/>
      <c r="AC72" s="3"/>
      <c r="AD72" s="3"/>
      <c r="AE72" s="3"/>
    </row>
    <row r="73" spans="1:31" ht="46.4" customHeight="1">
      <c r="A73" s="12"/>
      <c r="B73" s="385" t="s">
        <v>1568</v>
      </c>
      <c r="C73" s="386"/>
      <c r="D73" s="439"/>
      <c r="E73" s="398" t="str">
        <f>IF(OR('1 - General description'!G56="Yes",'1 - General description'!G57="Yes"),"TO DO","Not Applicable")</f>
        <v>TO DO</v>
      </c>
      <c r="F73" s="399"/>
      <c r="G73" s="432"/>
      <c r="H73" s="433"/>
      <c r="I73" s="433"/>
      <c r="J73" s="433"/>
      <c r="K73" s="433"/>
      <c r="L73" s="268"/>
      <c r="M73" s="3"/>
      <c r="N73" s="100">
        <v>2</v>
      </c>
      <c r="O73" s="96" t="s">
        <v>241</v>
      </c>
      <c r="P73" s="3"/>
      <c r="Q73" s="3"/>
      <c r="R73" s="3"/>
      <c r="U73" s="3"/>
      <c r="V73" s="3"/>
      <c r="X73" s="3"/>
      <c r="Y73" s="3"/>
      <c r="Z73" s="3"/>
      <c r="AA73" s="3"/>
      <c r="AB73" s="3"/>
      <c r="AC73" s="3"/>
      <c r="AD73" s="3"/>
      <c r="AE73" s="3"/>
    </row>
    <row r="74" spans="1:31" ht="46.4" customHeight="1">
      <c r="A74" s="12"/>
      <c r="B74" s="385" t="s">
        <v>1619</v>
      </c>
      <c r="C74" s="386"/>
      <c r="D74" s="439"/>
      <c r="E74" s="398" t="str">
        <f>IF(COUNTIF(H5:H13,"End Customer")&gt;0,"TO DO","Not Applicable")</f>
        <v>Not Applicable</v>
      </c>
      <c r="F74" s="399"/>
      <c r="G74" s="432"/>
      <c r="H74" s="433"/>
      <c r="I74" s="433"/>
      <c r="J74" s="433"/>
      <c r="K74" s="433"/>
      <c r="L74" s="268"/>
      <c r="M74" s="3"/>
      <c r="N74" s="101">
        <v>1</v>
      </c>
      <c r="O74" s="96" t="s">
        <v>242</v>
      </c>
      <c r="P74" s="3"/>
      <c r="Q74" s="3"/>
      <c r="R74" s="3"/>
      <c r="U74" s="3"/>
      <c r="V74" s="3"/>
      <c r="X74" s="3"/>
      <c r="Y74" s="3"/>
      <c r="Z74" s="3"/>
      <c r="AA74" s="3"/>
      <c r="AB74" s="3"/>
      <c r="AC74" s="3"/>
      <c r="AD74" s="3"/>
      <c r="AE74" s="3"/>
    </row>
    <row r="75" spans="1:31" ht="62.15" customHeight="1">
      <c r="A75" s="12"/>
      <c r="B75" s="385" t="s">
        <v>1627</v>
      </c>
      <c r="C75" s="386"/>
      <c r="D75" s="439"/>
      <c r="E75" s="398" t="str">
        <f>IF(F63="Required","TO DO","Not Applicable")</f>
        <v>Not Applicable</v>
      </c>
      <c r="F75" s="399"/>
      <c r="G75" s="432"/>
      <c r="H75" s="433"/>
      <c r="I75" s="433"/>
      <c r="J75" s="433"/>
      <c r="K75" s="443"/>
      <c r="L75" s="12"/>
      <c r="M75" s="3"/>
      <c r="N75" s="3"/>
      <c r="O75" s="3"/>
      <c r="P75" s="3"/>
      <c r="Q75" s="3"/>
      <c r="R75" s="3"/>
      <c r="U75" s="3"/>
      <c r="V75" s="3"/>
      <c r="X75" s="3"/>
      <c r="Y75" s="3"/>
      <c r="Z75" s="3"/>
      <c r="AA75" s="3"/>
      <c r="AB75" s="3"/>
      <c r="AC75" s="3"/>
      <c r="AD75" s="3"/>
      <c r="AE75" s="3"/>
    </row>
    <row r="76" spans="1:31" ht="46.4" customHeight="1">
      <c r="A76" s="12"/>
      <c r="B76" s="385" t="s">
        <v>1569</v>
      </c>
      <c r="C76" s="386"/>
      <c r="D76" s="439"/>
      <c r="E76" s="398" t="str">
        <f>IF(J63="Required","TO DO","Not Applicable")</f>
        <v>Not Applicable</v>
      </c>
      <c r="F76" s="399"/>
      <c r="G76" s="432"/>
      <c r="H76" s="433"/>
      <c r="I76" s="433"/>
      <c r="J76" s="433"/>
      <c r="K76" s="433"/>
      <c r="L76" s="268"/>
      <c r="M76" s="3"/>
      <c r="N76" s="3"/>
      <c r="O76" s="3"/>
      <c r="P76" s="3"/>
      <c r="Q76" s="3"/>
      <c r="R76" s="3"/>
      <c r="U76" s="3"/>
      <c r="V76" s="3"/>
      <c r="X76" s="3"/>
      <c r="Y76" s="3"/>
      <c r="Z76" s="3"/>
      <c r="AA76" s="3"/>
      <c r="AB76" s="3"/>
      <c r="AC76" s="3"/>
      <c r="AD76" s="3"/>
      <c r="AE76" s="3"/>
    </row>
    <row r="77" spans="1:31" ht="46.4" customHeight="1">
      <c r="A77" s="12"/>
      <c r="B77" s="385" t="s">
        <v>1574</v>
      </c>
      <c r="C77" s="386"/>
      <c r="D77" s="439"/>
      <c r="E77" s="398" t="str">
        <f>IF(OR('1 - General description'!G56="Yes",'1 - General description'!G57="Yes"),"TO DO","Not Applicable")</f>
        <v>TO DO</v>
      </c>
      <c r="F77" s="399"/>
      <c r="G77" s="432"/>
      <c r="H77" s="433"/>
      <c r="I77" s="433"/>
      <c r="J77" s="433"/>
      <c r="K77" s="433"/>
      <c r="L77" s="268"/>
      <c r="M77" s="3"/>
      <c r="N77" s="3"/>
      <c r="O77" s="3"/>
      <c r="P77" s="3"/>
      <c r="Q77" s="3"/>
      <c r="R77" s="3"/>
      <c r="U77" s="3"/>
      <c r="V77" s="3"/>
      <c r="X77" s="3"/>
      <c r="Y77" s="3"/>
      <c r="Z77" s="3"/>
      <c r="AA77" s="3"/>
      <c r="AB77" s="3"/>
      <c r="AC77" s="3"/>
      <c r="AD77" s="3"/>
      <c r="AE77" s="3"/>
    </row>
    <row r="78" spans="1:31" ht="46.4" customHeight="1">
      <c r="A78" s="12"/>
      <c r="B78" s="385" t="s">
        <v>1570</v>
      </c>
      <c r="C78" s="386"/>
      <c r="D78" s="439"/>
      <c r="E78" s="398" t="str">
        <f>IF(OR('1 - General description'!G57="Yes",'1 - General description'!C9="Stores"),"TO DO","Not Applicable")</f>
        <v>TO DO</v>
      </c>
      <c r="F78" s="399"/>
      <c r="G78" s="432"/>
      <c r="H78" s="433"/>
      <c r="I78" s="433"/>
      <c r="J78" s="433"/>
      <c r="K78" s="433"/>
      <c r="L78" s="268"/>
      <c r="M78" s="3"/>
      <c r="N78" s="3"/>
      <c r="O78" s="3"/>
      <c r="P78" s="3"/>
      <c r="Q78" s="3"/>
      <c r="R78" s="3"/>
      <c r="U78" s="3"/>
      <c r="V78" s="3"/>
      <c r="X78" s="3"/>
      <c r="Y78" s="3"/>
      <c r="Z78" s="3"/>
      <c r="AA78" s="3"/>
      <c r="AB78" s="3"/>
      <c r="AC78" s="3"/>
      <c r="AD78" s="3"/>
      <c r="AE78" s="3"/>
    </row>
    <row r="79" spans="1:31" ht="46.4" customHeight="1">
      <c r="A79" s="12"/>
      <c r="B79" s="385" t="s">
        <v>1571</v>
      </c>
      <c r="C79" s="386"/>
      <c r="D79" s="439"/>
      <c r="E79" s="398" t="str">
        <f>IF('1 - General description'!G57="Yes","TO DO","Not Applicable")</f>
        <v>TO DO</v>
      </c>
      <c r="F79" s="399"/>
      <c r="G79" s="432"/>
      <c r="H79" s="433"/>
      <c r="I79" s="433"/>
      <c r="J79" s="433"/>
      <c r="K79" s="433"/>
      <c r="L79" s="268"/>
      <c r="M79" s="3"/>
      <c r="N79" s="3"/>
      <c r="O79" s="3"/>
      <c r="P79" s="3"/>
      <c r="Q79" s="3"/>
      <c r="R79" s="3"/>
      <c r="U79" s="3"/>
      <c r="V79" s="3"/>
      <c r="X79" s="3"/>
      <c r="Y79" s="3"/>
      <c r="Z79" s="3"/>
      <c r="AA79" s="3"/>
      <c r="AB79" s="3"/>
      <c r="AC79" s="3"/>
      <c r="AD79" s="3"/>
      <c r="AE79" s="3"/>
    </row>
    <row r="80" spans="1:31" ht="46.4" customHeight="1">
      <c r="A80" s="12"/>
      <c r="B80" s="385" t="s">
        <v>1572</v>
      </c>
      <c r="C80" s="386"/>
      <c r="D80" s="439"/>
      <c r="E80" s="398" t="str">
        <f>IF(AND('1 - General description'!G57="Yes",'1 - General description'!F6="Yes"),"TO DO","Not Applicable")</f>
        <v>Not Applicable</v>
      </c>
      <c r="F80" s="399"/>
      <c r="G80" s="432"/>
      <c r="H80" s="433"/>
      <c r="I80" s="433"/>
      <c r="J80" s="433"/>
      <c r="K80" s="433"/>
      <c r="L80" s="268"/>
      <c r="M80" s="3"/>
      <c r="N80" s="3"/>
      <c r="O80" s="3"/>
      <c r="P80" s="3"/>
      <c r="Q80" s="3"/>
      <c r="R80" s="3"/>
      <c r="U80" s="3"/>
      <c r="V80" s="3"/>
      <c r="X80" s="3"/>
      <c r="Y80" s="3"/>
      <c r="Z80" s="3"/>
      <c r="AA80" s="3"/>
      <c r="AB80" s="3"/>
      <c r="AC80" s="3"/>
      <c r="AD80" s="3"/>
      <c r="AE80" s="3"/>
    </row>
    <row r="81" spans="1:31" ht="46.4" customHeight="1">
      <c r="A81" s="12"/>
      <c r="B81" s="385" t="s">
        <v>1573</v>
      </c>
      <c r="C81" s="386"/>
      <c r="D81" s="439"/>
      <c r="E81" s="398" t="str">
        <f>IF(OR('1 - General description'!G57="Yes",'1 - General description'!C9="Stores"),"TO DO","Not Applicable")</f>
        <v>TO DO</v>
      </c>
      <c r="F81" s="399"/>
      <c r="G81" s="432"/>
      <c r="H81" s="433"/>
      <c r="I81" s="433"/>
      <c r="J81" s="433"/>
      <c r="K81" s="433"/>
      <c r="L81" s="268"/>
      <c r="M81" s="3"/>
      <c r="N81" s="3"/>
      <c r="O81" s="3"/>
      <c r="P81" s="3"/>
      <c r="Q81" s="3"/>
      <c r="R81" s="3"/>
      <c r="U81" s="3"/>
      <c r="V81" s="3"/>
      <c r="X81" s="3"/>
      <c r="Y81" s="3"/>
      <c r="Z81" s="3"/>
      <c r="AA81" s="3"/>
      <c r="AB81" s="3"/>
      <c r="AC81" s="3"/>
      <c r="AD81" s="3"/>
      <c r="AE81" s="3"/>
    </row>
    <row r="82" spans="1:31" ht="46.4" customHeight="1">
      <c r="A82" s="12"/>
      <c r="B82" s="385" t="s">
        <v>1626</v>
      </c>
      <c r="C82" s="386"/>
      <c r="D82" s="439"/>
      <c r="E82" s="398" t="str">
        <f>IF(ISNUMBER(SEARCH("Yes",'1 - General description'!E36)),"TO DO","Not Applicable")</f>
        <v>Not Applicable</v>
      </c>
      <c r="F82" s="399"/>
      <c r="G82" s="432"/>
      <c r="H82" s="433"/>
      <c r="I82" s="433"/>
      <c r="J82" s="433"/>
      <c r="K82" s="433"/>
      <c r="L82" s="268"/>
      <c r="M82" s="3"/>
      <c r="N82" s="3"/>
      <c r="O82" s="3"/>
      <c r="P82" s="3"/>
      <c r="Q82" s="3"/>
      <c r="R82" s="3"/>
      <c r="U82" s="3"/>
      <c r="V82" s="3"/>
      <c r="X82" s="3"/>
      <c r="Y82" s="3"/>
      <c r="Z82" s="3"/>
      <c r="AA82" s="3"/>
      <c r="AB82" s="3"/>
      <c r="AC82" s="3"/>
      <c r="AD82" s="3"/>
      <c r="AE82" s="3"/>
    </row>
    <row r="83" spans="1:31" ht="194.25" customHeight="1" thickBot="1">
      <c r="A83" s="12"/>
      <c r="B83" s="419" t="s">
        <v>1564</v>
      </c>
      <c r="C83" s="420"/>
      <c r="D83" s="420"/>
      <c r="E83" s="405"/>
      <c r="F83" s="363"/>
      <c r="G83" s="363"/>
      <c r="H83" s="363"/>
      <c r="I83" s="363"/>
      <c r="J83" s="363"/>
      <c r="K83" s="363"/>
      <c r="L83" s="267"/>
      <c r="M83" s="3"/>
      <c r="N83" s="3"/>
      <c r="O83" s="3"/>
      <c r="P83" s="3"/>
      <c r="Q83" s="3"/>
      <c r="R83" s="3"/>
      <c r="U83" s="3"/>
      <c r="V83" s="3"/>
      <c r="X83" s="3"/>
      <c r="Y83" s="3"/>
      <c r="Z83" s="3"/>
      <c r="AA83" s="3"/>
      <c r="AB83" s="3"/>
      <c r="AC83" s="3"/>
      <c r="AD83" s="3"/>
      <c r="AE83" s="3"/>
    </row>
    <row r="84" spans="1:31" ht="46.4" customHeight="1" thickTop="1">
      <c r="A84" s="178"/>
      <c r="B84" s="180"/>
      <c r="C84" s="180"/>
      <c r="D84" s="179"/>
      <c r="E84" s="179"/>
      <c r="F84" s="179"/>
      <c r="G84" s="179"/>
      <c r="H84" s="179"/>
      <c r="I84" s="179"/>
      <c r="J84" s="179"/>
      <c r="K84" s="179"/>
      <c r="L84" s="178"/>
      <c r="M84" s="93"/>
      <c r="P84" s="3"/>
      <c r="Q84" s="3"/>
      <c r="R84" s="3"/>
      <c r="U84" s="3"/>
      <c r="V84" s="3"/>
      <c r="X84" s="3"/>
      <c r="Y84" s="3"/>
      <c r="Z84" s="3"/>
      <c r="AA84" s="3"/>
      <c r="AB84" s="3"/>
      <c r="AC84" s="3"/>
      <c r="AD84" s="3"/>
      <c r="AE84" s="3"/>
    </row>
    <row r="85" spans="1:31" s="3" customFormat="1">
      <c r="N85" s="22"/>
    </row>
    <row r="86" spans="1:31" s="3" customFormat="1"/>
    <row r="87" spans="1:31" s="3" customFormat="1"/>
    <row r="88" spans="1:31" s="3" customFormat="1"/>
    <row r="89" spans="1:31" s="3" customFormat="1"/>
    <row r="90" spans="1:31" s="3" customFormat="1">
      <c r="B90" s="22"/>
      <c r="C90" s="22"/>
      <c r="D90" s="22"/>
      <c r="E90" s="22"/>
      <c r="F90" s="22"/>
    </row>
    <row r="91" spans="1:31" s="3" customFormat="1"/>
    <row r="92" spans="1:31" s="3" customFormat="1"/>
    <row r="93" spans="1:31" s="3" customFormat="1"/>
    <row r="94" spans="1:31" s="3" customFormat="1"/>
    <row r="95" spans="1:31" s="3" customFormat="1"/>
    <row r="96" spans="1:31"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pans="14:16" s="3" customFormat="1">
      <c r="P113" s="32"/>
    </row>
    <row r="114" spans="14:16">
      <c r="N114" s="3"/>
      <c r="O114" s="3"/>
      <c r="P114" s="3"/>
    </row>
    <row r="115" spans="14:16"/>
    <row r="116" spans="14:16"/>
    <row r="117" spans="14:16"/>
    <row r="118" spans="14:16"/>
    <row r="119" spans="14:16"/>
    <row r="120" spans="14:16"/>
    <row r="121" spans="14:16"/>
    <row r="122" spans="14:16"/>
  </sheetData>
  <mergeCells count="148">
    <mergeCell ref="G82:K82"/>
    <mergeCell ref="E74:F74"/>
    <mergeCell ref="E73:F73"/>
    <mergeCell ref="E75:F75"/>
    <mergeCell ref="E76:F76"/>
    <mergeCell ref="E78:F78"/>
    <mergeCell ref="G73:K73"/>
    <mergeCell ref="G74:K74"/>
    <mergeCell ref="G75:K75"/>
    <mergeCell ref="G76:K76"/>
    <mergeCell ref="G77:K77"/>
    <mergeCell ref="G78:K78"/>
    <mergeCell ref="G79:K79"/>
    <mergeCell ref="G80:K80"/>
    <mergeCell ref="G81:K81"/>
    <mergeCell ref="E79:F79"/>
    <mergeCell ref="E80:F80"/>
    <mergeCell ref="E81:F81"/>
    <mergeCell ref="E82:F82"/>
    <mergeCell ref="E77:F77"/>
    <mergeCell ref="F24:K24"/>
    <mergeCell ref="F25:K25"/>
    <mergeCell ref="B43:C44"/>
    <mergeCell ref="F44:K44"/>
    <mergeCell ref="I34:J34"/>
    <mergeCell ref="I35:J35"/>
    <mergeCell ref="G34:H34"/>
    <mergeCell ref="G35:H35"/>
    <mergeCell ref="E34:F34"/>
    <mergeCell ref="E35:F35"/>
    <mergeCell ref="C34:D34"/>
    <mergeCell ref="C35:D35"/>
    <mergeCell ref="F28:K28"/>
    <mergeCell ref="F29:K29"/>
    <mergeCell ref="F30:K30"/>
    <mergeCell ref="B28:D28"/>
    <mergeCell ref="B29:D29"/>
    <mergeCell ref="B30:D30"/>
    <mergeCell ref="F40:K40"/>
    <mergeCell ref="B73:D73"/>
    <mergeCell ref="B74:D74"/>
    <mergeCell ref="B75:D75"/>
    <mergeCell ref="B76:D76"/>
    <mergeCell ref="B78:D78"/>
    <mergeCell ref="B82:D82"/>
    <mergeCell ref="B81:D81"/>
    <mergeCell ref="B80:D80"/>
    <mergeCell ref="B79:D79"/>
    <mergeCell ref="B77:D77"/>
    <mergeCell ref="E72:F72"/>
    <mergeCell ref="F41:K41"/>
    <mergeCell ref="B71:D71"/>
    <mergeCell ref="B51:K51"/>
    <mergeCell ref="E61:E62"/>
    <mergeCell ref="F61:F62"/>
    <mergeCell ref="K63:K64"/>
    <mergeCell ref="G68:K68"/>
    <mergeCell ref="G69:K69"/>
    <mergeCell ref="G70:K70"/>
    <mergeCell ref="G71:K71"/>
    <mergeCell ref="G72:K72"/>
    <mergeCell ref="B72:D72"/>
    <mergeCell ref="B68:D68"/>
    <mergeCell ref="J63:J64"/>
    <mergeCell ref="D58:K58"/>
    <mergeCell ref="E71:F71"/>
    <mergeCell ref="F63:F64"/>
    <mergeCell ref="D14:K14"/>
    <mergeCell ref="D15:K15"/>
    <mergeCell ref="F21:K21"/>
    <mergeCell ref="F22:K22"/>
    <mergeCell ref="F23:K23"/>
    <mergeCell ref="B19:D19"/>
    <mergeCell ref="B20:D20"/>
    <mergeCell ref="B21:D21"/>
    <mergeCell ref="B22:D22"/>
    <mergeCell ref="B23:D23"/>
    <mergeCell ref="E83:F83"/>
    <mergeCell ref="G67:K67"/>
    <mergeCell ref="B2:K2"/>
    <mergeCell ref="B3:F3"/>
    <mergeCell ref="G3:K3"/>
    <mergeCell ref="B33:K33"/>
    <mergeCell ref="F27:K27"/>
    <mergeCell ref="B17:D17"/>
    <mergeCell ref="B18:D18"/>
    <mergeCell ref="B24:D24"/>
    <mergeCell ref="B25:D25"/>
    <mergeCell ref="F16:K16"/>
    <mergeCell ref="F17:K17"/>
    <mergeCell ref="F18:K18"/>
    <mergeCell ref="F19:K19"/>
    <mergeCell ref="F20:K20"/>
    <mergeCell ref="B31:D31"/>
    <mergeCell ref="F31:K31"/>
    <mergeCell ref="B16:D16"/>
    <mergeCell ref="F26:K26"/>
    <mergeCell ref="B26:D26"/>
    <mergeCell ref="B27:D27"/>
    <mergeCell ref="B83:D83"/>
    <mergeCell ref="F43:K43"/>
    <mergeCell ref="N47:O47"/>
    <mergeCell ref="B70:D70"/>
    <mergeCell ref="D55:K55"/>
    <mergeCell ref="B56:C56"/>
    <mergeCell ref="D56:K56"/>
    <mergeCell ref="B57:C57"/>
    <mergeCell ref="D57:K57"/>
    <mergeCell ref="B52:C52"/>
    <mergeCell ref="D52:K52"/>
    <mergeCell ref="B53:C53"/>
    <mergeCell ref="D53:K53"/>
    <mergeCell ref="B54:C54"/>
    <mergeCell ref="D54:K54"/>
    <mergeCell ref="J61:J62"/>
    <mergeCell ref="E67:F67"/>
    <mergeCell ref="E68:F68"/>
    <mergeCell ref="E69:F69"/>
    <mergeCell ref="E70:F70"/>
    <mergeCell ref="K61:K62"/>
    <mergeCell ref="B58:C58"/>
    <mergeCell ref="B66:K66"/>
    <mergeCell ref="B67:D67"/>
    <mergeCell ref="E63:E64"/>
    <mergeCell ref="G83:K83"/>
    <mergeCell ref="N42:O42"/>
    <mergeCell ref="N37:O37"/>
    <mergeCell ref="N69:O69"/>
    <mergeCell ref="N57:O57"/>
    <mergeCell ref="N52:O52"/>
    <mergeCell ref="B50:K50"/>
    <mergeCell ref="B45:C45"/>
    <mergeCell ref="F45:K45"/>
    <mergeCell ref="B46:C46"/>
    <mergeCell ref="F46:K46"/>
    <mergeCell ref="B47:C48"/>
    <mergeCell ref="F47:K47"/>
    <mergeCell ref="F48:K48"/>
    <mergeCell ref="F42:K42"/>
    <mergeCell ref="B37:K37"/>
    <mergeCell ref="B38:D38"/>
    <mergeCell ref="F38:K38"/>
    <mergeCell ref="F39:K39"/>
    <mergeCell ref="B69:D69"/>
    <mergeCell ref="B60:K60"/>
    <mergeCell ref="B61:C61"/>
    <mergeCell ref="B55:C55"/>
    <mergeCell ref="B39:C42"/>
  </mergeCells>
  <conditionalFormatting sqref="B35:G35 I35 K35">
    <cfRule type="cellIs" dxfId="69" priority="79" operator="equal">
      <formula>1</formula>
    </cfRule>
    <cfRule type="cellIs" dxfId="68" priority="78" operator="equal">
      <formula>2</formula>
    </cfRule>
    <cfRule type="cellIs" dxfId="67" priority="77" operator="equal">
      <formula>3</formula>
    </cfRule>
    <cfRule type="cellIs" dxfId="66" priority="76" operator="equal">
      <formula>4</formula>
    </cfRule>
    <cfRule type="cellIs" dxfId="65" priority="75" operator="equal">
      <formula>5</formula>
    </cfRule>
  </conditionalFormatting>
  <conditionalFormatting sqref="E68:F82">
    <cfRule type="cellIs" dxfId="64" priority="9" operator="equal">
      <formula>"Not applicable"</formula>
    </cfRule>
  </conditionalFormatting>
  <conditionalFormatting sqref="F61">
    <cfRule type="cellIs" dxfId="63" priority="137" operator="equal">
      <formula>"Critical Risk"</formula>
    </cfRule>
    <cfRule type="cellIs" dxfId="62" priority="136" operator="equal">
      <formula>"High Risk"</formula>
    </cfRule>
    <cfRule type="cellIs" dxfId="61" priority="135" operator="equal">
      <formula>"Medium"</formula>
    </cfRule>
    <cfRule type="cellIs" dxfId="60" priority="134" operator="equal">
      <formula>"Low"</formula>
    </cfRule>
  </conditionalFormatting>
  <conditionalFormatting sqref="F63 J63">
    <cfRule type="containsText" dxfId="59" priority="66" operator="containsText" text="Required">
      <formula>NOT(ISERROR(SEARCH("Required",F63)))</formula>
    </cfRule>
    <cfRule type="containsText" dxfId="58" priority="65" operator="containsText" text="Not required">
      <formula>NOT(ISERROR(SEARCH("Not required",F63)))</formula>
    </cfRule>
  </conditionalFormatting>
  <conditionalFormatting sqref="F63:F64 J63:J64">
    <cfRule type="containsBlanks" dxfId="57" priority="64">
      <formula>LEN(TRIM(F63))=0</formula>
    </cfRule>
  </conditionalFormatting>
  <conditionalFormatting sqref="J61:J62">
    <cfRule type="cellIs" dxfId="56" priority="60" operator="equal">
      <formula>"Medium"</formula>
    </cfRule>
    <cfRule type="cellIs" dxfId="55" priority="63" operator="equal">
      <formula>"Low"</formula>
    </cfRule>
    <cfRule type="cellIs" dxfId="54" priority="62" operator="equal">
      <formula>"Very Sensitive"</formula>
    </cfRule>
    <cfRule type="cellIs" dxfId="53" priority="61" operator="equal">
      <formula>"Sensitive"</formula>
    </cfRule>
  </conditionalFormatting>
  <conditionalFormatting sqref="J61:K61">
    <cfRule type="cellIs" dxfId="52" priority="74" operator="equal">
      <formula>"Critical Risk"</formula>
    </cfRule>
    <cfRule type="cellIs" dxfId="51" priority="73" operator="equal">
      <formula>"High Risk"</formula>
    </cfRule>
  </conditionalFormatting>
  <conditionalFormatting sqref="K61:K63">
    <cfRule type="cellIs" dxfId="50" priority="5" operator="equal">
      <formula>"Medium"</formula>
    </cfRule>
    <cfRule type="cellIs" dxfId="49" priority="6" operator="equal">
      <formula>"Sensitive"</formula>
    </cfRule>
    <cfRule type="cellIs" dxfId="48" priority="7" operator="equal">
      <formula>"Very Sensitive"</formula>
    </cfRule>
    <cfRule type="cellIs" dxfId="47" priority="8" operator="equal">
      <formula>"Low"</formula>
    </cfRule>
  </conditionalFormatting>
  <conditionalFormatting sqref="K63">
    <cfRule type="cellIs" dxfId="46" priority="2" operator="equal">
      <formula>"Critical Risk"</formula>
    </cfRule>
    <cfRule type="cellIs" dxfId="45" priority="1" operator="equal">
      <formula>"High Risk"</formula>
    </cfRule>
  </conditionalFormatting>
  <conditionalFormatting sqref="N37:N68">
    <cfRule type="cellIs" dxfId="44" priority="10" operator="equal">
      <formula>1</formula>
    </cfRule>
    <cfRule type="cellIs" dxfId="43" priority="11" operator="equal">
      <formula>2</formula>
    </cfRule>
    <cfRule type="cellIs" dxfId="42" priority="12" operator="equal">
      <formula>3</formula>
    </cfRule>
    <cfRule type="cellIs" dxfId="41" priority="14" operator="equal">
      <formula>5</formula>
    </cfRule>
    <cfRule type="cellIs" dxfId="40" priority="13" operator="equal">
      <formula>4</formula>
    </cfRule>
  </conditionalFormatting>
  <conditionalFormatting sqref="N38:O41">
    <cfRule type="cellIs" dxfId="39" priority="197" operator="equal">
      <formula>5</formula>
    </cfRule>
    <cfRule type="cellIs" dxfId="38" priority="193" operator="equal">
      <formula>1</formula>
    </cfRule>
    <cfRule type="cellIs" dxfId="37" priority="194" operator="equal">
      <formula>2</formula>
    </cfRule>
    <cfRule type="cellIs" dxfId="36" priority="195" operator="equal">
      <formula>3</formula>
    </cfRule>
    <cfRule type="cellIs" dxfId="35" priority="196" operator="equal">
      <formula>4</formula>
    </cfRule>
  </conditionalFormatting>
  <conditionalFormatting sqref="N43:O46">
    <cfRule type="cellIs" dxfId="34" priority="178" operator="equal">
      <formula>1</formula>
    </cfRule>
    <cfRule type="cellIs" dxfId="33" priority="179" operator="equal">
      <formula>2</formula>
    </cfRule>
    <cfRule type="cellIs" dxfId="32" priority="180" operator="equal">
      <formula>3</formula>
    </cfRule>
    <cfRule type="cellIs" dxfId="31" priority="182" operator="equal">
      <formula>5</formula>
    </cfRule>
    <cfRule type="cellIs" dxfId="30" priority="181" operator="equal">
      <formula>4</formula>
    </cfRule>
  </conditionalFormatting>
  <conditionalFormatting sqref="N48:O51">
    <cfRule type="cellIs" dxfId="29" priority="59" operator="equal">
      <formula>5</formula>
    </cfRule>
    <cfRule type="cellIs" dxfId="28" priority="58" operator="equal">
      <formula>4</formula>
    </cfRule>
    <cfRule type="cellIs" dxfId="27" priority="57" operator="equal">
      <formula>3</formula>
    </cfRule>
    <cfRule type="cellIs" dxfId="26" priority="56" operator="equal">
      <formula>2</formula>
    </cfRule>
    <cfRule type="cellIs" dxfId="25" priority="55" operator="equal">
      <formula>1</formula>
    </cfRule>
  </conditionalFormatting>
  <conditionalFormatting sqref="N53:O56">
    <cfRule type="cellIs" dxfId="24" priority="44" operator="equal">
      <formula>5</formula>
    </cfRule>
    <cfRule type="cellIs" dxfId="23" priority="43" operator="equal">
      <formula>4</formula>
    </cfRule>
    <cfRule type="cellIs" dxfId="22" priority="42" operator="equal">
      <formula>3</formula>
    </cfRule>
    <cfRule type="cellIs" dxfId="21" priority="41" operator="equal">
      <formula>2</formula>
    </cfRule>
    <cfRule type="cellIs" dxfId="20" priority="40" operator="equal">
      <formula>1</formula>
    </cfRule>
  </conditionalFormatting>
  <conditionalFormatting sqref="N58:O68">
    <cfRule type="cellIs" dxfId="19" priority="29" operator="equal">
      <formula>5</formula>
    </cfRule>
    <cfRule type="cellIs" dxfId="18" priority="28" operator="equal">
      <formula>4</formula>
    </cfRule>
    <cfRule type="cellIs" dxfId="17" priority="27" operator="equal">
      <formula>3</formula>
    </cfRule>
    <cfRule type="cellIs" dxfId="16" priority="26" operator="equal">
      <formula>2</formula>
    </cfRule>
    <cfRule type="cellIs" dxfId="15" priority="25" operator="equal">
      <formula>1</formula>
    </cfRule>
  </conditionalFormatting>
  <dataValidations count="9">
    <dataValidation type="list" allowBlank="1" showInputMessage="1" showErrorMessage="1" sqref="C5:C15 E17:E31 I5:I13" xr:uid="{50AAF18B-F112-411F-94B2-CA1E1F2FDC0E}">
      <formula1>"Yes,No"</formula1>
    </dataValidation>
    <dataValidation type="list" allowBlank="1" showInputMessage="1" showErrorMessage="1" sqref="J5:J13" xr:uid="{1EAD0F35-D167-4F55-BA52-D331A6EAC389}">
      <formula1>"&lt;100, &gt;100 &amp; &lt;1000, &gt;1000 &amp; &lt;10.000, &gt;10.000 &amp; &lt;500.000, &gt;500.000"</formula1>
    </dataValidation>
    <dataValidation type="list" allowBlank="1" showInputMessage="1" showErrorMessage="1" sqref="F5:F13" xr:uid="{5A15B58F-08BF-4631-8DBB-FBF162702B70}">
      <formula1>"Internal Employee, External Employee, Consultant, Business Partner, Supplier, Other"</formula1>
    </dataValidation>
    <dataValidation type="list" allowBlank="1" showInputMessage="1" showErrorMessage="1" sqref="B35:C35 G35 E35" xr:uid="{3A479FF5-495A-4016-914E-5FB403DF73E8}">
      <formula1>"4,3,2,1"</formula1>
    </dataValidation>
    <dataValidation type="list" allowBlank="1" showInputMessage="1" showErrorMessage="1" sqref="E39:E44 E47:E48" xr:uid="{2C6729C4-7BAB-44BC-AEB4-96ACAB10F5B0}">
      <formula1>"4 - Critical, 3 - High, 2 - Medium, 1 - Low"</formula1>
    </dataValidation>
    <dataValidation type="list" allowBlank="1" showInputMessage="1" showErrorMessage="1" sqref="E45:E46" xr:uid="{74E699CD-0579-449C-9E54-472D718DA4DA}">
      <formula1>"4 - Max 4h, 3 - Between 4h and 24h, 2 - More than 1 day, 1 - More than 1 week"</formula1>
    </dataValidation>
    <dataValidation type="list" allowBlank="1" showInputMessage="1" showErrorMessage="1" sqref="H5:H13" xr:uid="{47F89BAB-589E-431F-ADDB-61EE8A0F7482}">
      <formula1>"SEPHORA Employee HQ, SEPHORA Employee STORE, LVMH Group Employee, Business Partner Employee, End Customer, Other"</formula1>
    </dataValidation>
    <dataValidation type="list" allowBlank="1" showInputMessage="1" showErrorMessage="1" sqref="G68:K82" xr:uid="{ED8D8E1F-B684-40F2-8CB8-37FA55C7269D}">
      <formula1>"Planned,Done,Refused"</formula1>
    </dataValidation>
    <dataValidation type="list" allowBlank="1" showInputMessage="1" showErrorMessage="1" sqref="I35 G35" xr:uid="{407071FE-DEC3-4221-980E-1F3A6F97237D}">
      <formula1>"4,3,2,0"</formula1>
    </dataValidation>
  </dataValidations>
  <pageMargins left="0.7" right="0.7" top="0.75" bottom="0.75" header="0.3" footer="0.3"/>
  <pageSetup paperSize="9" scale="13"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1560-21CF-42B6-8AD1-3E4D06BC2000}">
  <sheetPr>
    <pageSetUpPr fitToPage="1"/>
  </sheetPr>
  <dimension ref="A1:L1093"/>
  <sheetViews>
    <sheetView showGridLines="0" topLeftCell="A4" zoomScale="67" zoomScaleNormal="90" workbookViewId="0">
      <selection activeCell="H3" sqref="H3"/>
    </sheetView>
  </sheetViews>
  <sheetFormatPr baseColWidth="10" defaultColWidth="10.54296875" defaultRowHeight="14.5"/>
  <cols>
    <col min="1" max="1" width="5.54296875" style="29" customWidth="1"/>
    <col min="2" max="2" width="28.54296875" customWidth="1"/>
    <col min="3" max="3" width="5.54296875" customWidth="1"/>
    <col min="4" max="4" width="19.54296875" customWidth="1"/>
    <col min="5" max="5" width="92.453125" bestFit="1" customWidth="1"/>
    <col min="6" max="6" width="15" hidden="1" customWidth="1"/>
    <col min="7" max="7" width="16.453125" bestFit="1" customWidth="1"/>
    <col min="8" max="8" width="27.453125" customWidth="1"/>
    <col min="9" max="9" width="40.453125" customWidth="1"/>
    <col min="10" max="10" width="67.453125" customWidth="1"/>
    <col min="11" max="11" width="10.54296875" hidden="1" customWidth="1"/>
  </cols>
  <sheetData>
    <row r="1" spans="1:11" ht="46.5" customHeight="1">
      <c r="A1" s="33"/>
      <c r="B1" s="444" t="s">
        <v>243</v>
      </c>
      <c r="C1" s="445"/>
      <c r="D1" s="445"/>
      <c r="E1" s="445"/>
      <c r="F1" s="445"/>
      <c r="G1" s="445"/>
      <c r="H1" s="445"/>
      <c r="I1" s="445"/>
      <c r="J1" s="75"/>
    </row>
    <row r="2" spans="1:11" ht="84" customHeight="1">
      <c r="A2" s="34"/>
      <c r="B2" s="56" t="s">
        <v>244</v>
      </c>
      <c r="C2" s="56" t="s">
        <v>245</v>
      </c>
      <c r="D2" s="56" t="s">
        <v>246</v>
      </c>
      <c r="E2" s="56" t="s">
        <v>247</v>
      </c>
      <c r="F2" s="56" t="s">
        <v>248</v>
      </c>
      <c r="G2" s="56" t="s">
        <v>249</v>
      </c>
      <c r="H2" s="57" t="s">
        <v>250</v>
      </c>
      <c r="I2" s="57" t="s">
        <v>251</v>
      </c>
      <c r="J2" s="57" t="s">
        <v>252</v>
      </c>
      <c r="K2" s="28"/>
    </row>
    <row r="3" spans="1:11" ht="94.5" customHeight="1">
      <c r="A3" s="59">
        <v>1</v>
      </c>
      <c r="B3" s="127" t="s">
        <v>253</v>
      </c>
      <c r="C3" s="66" t="s">
        <v>254</v>
      </c>
      <c r="D3" s="67" t="s">
        <v>255</v>
      </c>
      <c r="E3" s="68" t="s">
        <v>256</v>
      </c>
      <c r="F3" s="67" t="s">
        <v>257</v>
      </c>
      <c r="G3" s="69" t="str">
        <f>IF(AND('1 - General description'!$G$51=FALSE, K3= TRUE),"Applicable","N.A")</f>
        <v>Applicable</v>
      </c>
      <c r="H3" s="130"/>
      <c r="I3" s="252"/>
      <c r="J3" s="250"/>
      <c r="K3" s="28" t="b">
        <f>OR(ISNUMBER(FIND('1 - General description'!$H$51,F3)),ISNUMBER(FIND('1 - General description'!$H$52,F3)),ISNUMBER(FIND('1 - General description'!$H$53,F3)),ISNUMBER(FIND('1 - General description'!$H$54,F3)),ISNUMBER(FIND('1 - General description'!$H$55,F3)),ISNUMBER(FIND('1 - General description'!$H$56,F3)),ISNUMBER(FIND('1 - General description'!$H$57,F3)),ISNUMBER(FIND('1 - General description'!$H$58,F3)),ISNUMBER(FIND('1 - General description'!$H$59,F3)),ISNUMBER(FIND('1 - General description'!$H$60,F3)),ISNUMBER(FIND('1 - General description'!$H$61,F3)),ISNUMBER(FIND('1 - General description'!$H$62,F3)),ISNUMBER(FIND('1 - General description'!$H$63,F3)),ISNUMBER(FIND('1 - General description'!$H$64,F3)))</f>
        <v>1</v>
      </c>
    </row>
    <row r="4" spans="1:11" ht="138" customHeight="1">
      <c r="A4" s="60">
        <v>1</v>
      </c>
      <c r="B4" s="127" t="s">
        <v>253</v>
      </c>
      <c r="C4" s="70" t="s">
        <v>258</v>
      </c>
      <c r="D4" s="71" t="s">
        <v>259</v>
      </c>
      <c r="E4" s="72" t="s">
        <v>260</v>
      </c>
      <c r="F4" s="71" t="s">
        <v>261</v>
      </c>
      <c r="G4" s="69" t="str">
        <f>IF(AND('1 - General description'!$G$51=FALSE, K4= TRUE),"Applicable","N.A")</f>
        <v>Applicable</v>
      </c>
      <c r="H4" s="130"/>
      <c r="I4" s="253"/>
      <c r="J4" s="251"/>
      <c r="K4" s="28" t="b">
        <f>OR(ISNUMBER(FIND('1 - General description'!$H$51,F4)),ISNUMBER(FIND('1 - General description'!$H$52,F4)),ISNUMBER(FIND('1 - General description'!$H$53,F4)),ISNUMBER(FIND('1 - General description'!$H$54,F4)),ISNUMBER(FIND('1 - General description'!$H$55,F4)),ISNUMBER(FIND('1 - General description'!$H$56,F4)),ISNUMBER(FIND('1 - General description'!$H$57,F4)),ISNUMBER(FIND('1 - General description'!$H$58,F4)),ISNUMBER(FIND('1 - General description'!$H$59,F4)),ISNUMBER(FIND('1 - General description'!$H$60,F4)),ISNUMBER(FIND('1 - General description'!$H$61,F4)),ISNUMBER(FIND('1 - General description'!$H$62,F4)),ISNUMBER(FIND('1 - General description'!$H$63,F4)),ISNUMBER(FIND('1 - General description'!$H$64,F4)))</f>
        <v>1</v>
      </c>
    </row>
    <row r="5" spans="1:11" ht="370.5" customHeight="1">
      <c r="A5" s="60">
        <v>1</v>
      </c>
      <c r="B5" s="127" t="s">
        <v>253</v>
      </c>
      <c r="C5" s="70" t="s">
        <v>262</v>
      </c>
      <c r="D5" s="71" t="s">
        <v>263</v>
      </c>
      <c r="E5" s="72" t="s">
        <v>264</v>
      </c>
      <c r="F5" s="71" t="s">
        <v>265</v>
      </c>
      <c r="G5" s="69" t="str">
        <f>IF(AND('1 - General description'!$G$51=FALSE, K5= TRUE),"Applicable","N.A")</f>
        <v>Applicable</v>
      </c>
      <c r="H5" s="130"/>
      <c r="I5" s="253"/>
      <c r="J5" s="251"/>
      <c r="K5" s="28" t="b">
        <f>OR(ISNUMBER(FIND('1 - General description'!$H$51,F5)),ISNUMBER(FIND('1 - General description'!$H$52,F5)),ISNUMBER(FIND('1 - General description'!$H$53,F5)),ISNUMBER(FIND('1 - General description'!$H$54,F5)),ISNUMBER(FIND('1 - General description'!$H$55,F5)),ISNUMBER(FIND('1 - General description'!$H$56,F5)),ISNUMBER(FIND('1 - General description'!$H$57,F5)),ISNUMBER(FIND('1 - General description'!$H$58,F5)),ISNUMBER(FIND('1 - General description'!$H$59,F5)),ISNUMBER(FIND('1 - General description'!$H$60,F5)),ISNUMBER(FIND('1 - General description'!$H$61,F5)),ISNUMBER(FIND('1 - General description'!$H$62,F5)),ISNUMBER(FIND('1 - General description'!$H$63,F5)),ISNUMBER(FIND('1 - General description'!$H$64,F5)))</f>
        <v>1</v>
      </c>
    </row>
    <row r="6" spans="1:11" ht="249.75" customHeight="1">
      <c r="A6" s="61">
        <v>1</v>
      </c>
      <c r="B6" s="58" t="s">
        <v>253</v>
      </c>
      <c r="C6" s="70" t="s">
        <v>266</v>
      </c>
      <c r="D6" s="71" t="s">
        <v>267</v>
      </c>
      <c r="E6" s="72" t="s">
        <v>268</v>
      </c>
      <c r="F6" s="71" t="s">
        <v>269</v>
      </c>
      <c r="G6" s="69" t="str">
        <f>IF(AND('1 - General description'!$G$51=FALSE, K6= TRUE),"Applicable","N.A")</f>
        <v>Applicable</v>
      </c>
      <c r="H6" s="130"/>
      <c r="I6" s="253"/>
      <c r="J6" s="251"/>
      <c r="K6" s="28" t="b">
        <f>OR(ISNUMBER(FIND('1 - General description'!$H$51,F6)),ISNUMBER(FIND('1 - General description'!$H$52,F6)),ISNUMBER(FIND('1 - General description'!$H$53,F6)),ISNUMBER(FIND('1 - General description'!$H$54,F6)),ISNUMBER(FIND('1 - General description'!$H$55,F6)),ISNUMBER(FIND('1 - General description'!$H$56,F6)),ISNUMBER(FIND('1 - General description'!$H$57,F6)),ISNUMBER(FIND('1 - General description'!$H$58,F6)),ISNUMBER(FIND('1 - General description'!$H$59,F6)),ISNUMBER(FIND('1 - General description'!$H$60,F6)),ISNUMBER(FIND('1 - General description'!$H$61,F6)),ISNUMBER(FIND('1 - General description'!$H$62,F6)),ISNUMBER(FIND('1 - General description'!$H$63,F6)),ISNUMBER(FIND('1 - General description'!$H$64,F6)))</f>
        <v>1</v>
      </c>
    </row>
    <row r="7" spans="1:11" ht="350.25" customHeight="1">
      <c r="A7" s="62">
        <v>2</v>
      </c>
      <c r="B7" s="58" t="s">
        <v>270</v>
      </c>
      <c r="C7" s="70" t="s">
        <v>271</v>
      </c>
      <c r="D7" s="71" t="s">
        <v>272</v>
      </c>
      <c r="E7" s="72" t="s">
        <v>273</v>
      </c>
      <c r="F7" s="71" t="s">
        <v>269</v>
      </c>
      <c r="G7" s="69" t="str">
        <f>IF(AND('1 - General description'!$G$51=FALSE, K7= TRUE),"Applicable","N.A")</f>
        <v>Applicable</v>
      </c>
      <c r="H7" s="130"/>
      <c r="I7" s="253"/>
      <c r="J7" s="251"/>
      <c r="K7" s="28" t="b">
        <f>OR(ISNUMBER(FIND('1 - General description'!$H$51,F7)),ISNUMBER(FIND('1 - General description'!$H$52,F7)),ISNUMBER(FIND('1 - General description'!$H$53,F7)),ISNUMBER(FIND('1 - General description'!$H$54,F7)),ISNUMBER(FIND('1 - General description'!$H$55,F7)),ISNUMBER(FIND('1 - General description'!$H$56,F7)),ISNUMBER(FIND('1 - General description'!$H$57,F7)),ISNUMBER(FIND('1 - General description'!$H$58,F7)),ISNUMBER(FIND('1 - General description'!$H$59,F7)),ISNUMBER(FIND('1 - General description'!$H$60,F7)),ISNUMBER(FIND('1 - General description'!$H$61,F7)),ISNUMBER(FIND('1 - General description'!$H$62,F7)),ISNUMBER(FIND('1 - General description'!$H$63,F7)),ISNUMBER(FIND('1 - General description'!$H$64,F7)))</f>
        <v>1</v>
      </c>
    </row>
    <row r="8" spans="1:11" ht="147" customHeight="1">
      <c r="A8" s="63">
        <v>2</v>
      </c>
      <c r="B8" s="58" t="s">
        <v>270</v>
      </c>
      <c r="C8" s="70" t="s">
        <v>274</v>
      </c>
      <c r="D8" s="71" t="s">
        <v>275</v>
      </c>
      <c r="E8" s="72" t="s">
        <v>276</v>
      </c>
      <c r="F8" s="71" t="s">
        <v>269</v>
      </c>
      <c r="G8" s="69" t="str">
        <f>IF(AND('1 - General description'!$G$51=FALSE, K8= TRUE),"Applicable","N.A")</f>
        <v>Applicable</v>
      </c>
      <c r="H8" s="130"/>
      <c r="I8" s="253"/>
      <c r="J8" s="251"/>
      <c r="K8" s="28" t="b">
        <f>OR(ISNUMBER(FIND('1 - General description'!$H$51,F8)),ISNUMBER(FIND('1 - General description'!$H$52,F8)),ISNUMBER(FIND('1 - General description'!$H$53,F8)),ISNUMBER(FIND('1 - General description'!$H$54,F8)),ISNUMBER(FIND('1 - General description'!$H$55,F8)),ISNUMBER(FIND('1 - General description'!$H$56,F8)),ISNUMBER(FIND('1 - General description'!$H$57,F8)),ISNUMBER(FIND('1 - General description'!$H$58,F8)),ISNUMBER(FIND('1 - General description'!$H$59,F8)),ISNUMBER(FIND('1 - General description'!$H$60,F8)),ISNUMBER(FIND('1 - General description'!$H$61,F8)),ISNUMBER(FIND('1 - General description'!$H$62,F8)),ISNUMBER(FIND('1 - General description'!$H$63,F8)),ISNUMBER(FIND('1 - General description'!$H$64,F8)))</f>
        <v>1</v>
      </c>
    </row>
    <row r="9" spans="1:11" ht="120.75" customHeight="1">
      <c r="A9" s="63">
        <v>2</v>
      </c>
      <c r="B9" s="58" t="s">
        <v>270</v>
      </c>
      <c r="C9" s="70" t="s">
        <v>277</v>
      </c>
      <c r="D9" s="71" t="s">
        <v>278</v>
      </c>
      <c r="E9" s="72" t="s">
        <v>279</v>
      </c>
      <c r="F9" s="71" t="s">
        <v>280</v>
      </c>
      <c r="G9" s="74" t="str">
        <f>IF(K9= TRUE,"Applicable","N.A")</f>
        <v>Applicable</v>
      </c>
      <c r="H9" s="130"/>
      <c r="I9" s="253"/>
      <c r="J9" s="251"/>
      <c r="K9" s="28" t="b">
        <f>OR(ISNUMBER(FIND('1 - General description'!$H$51,F9)),ISNUMBER(FIND('1 - General description'!$H$52,F9)),ISNUMBER(FIND('1 - General description'!$H$53,F9)),ISNUMBER(FIND('1 - General description'!$H$54,F9)),ISNUMBER(FIND('1 - General description'!$H$55,F9)),ISNUMBER(FIND('1 - General description'!$H$56,F9)),ISNUMBER(FIND('1 - General description'!$H$57,F9)),ISNUMBER(FIND('1 - General description'!$H$58,F9)),ISNUMBER(FIND('1 - General description'!$H$59,F9)),ISNUMBER(FIND('1 - General description'!$H$60,F9)),ISNUMBER(FIND('1 - General description'!$H$61,F9)),ISNUMBER(FIND('1 - General description'!$H$62,F9)),ISNUMBER(FIND('1 - General description'!$H$63,F9)),ISNUMBER(FIND('1 - General description'!$H$64,F9)))</f>
        <v>1</v>
      </c>
    </row>
    <row r="10" spans="1:11" ht="126.75" hidden="1" customHeight="1">
      <c r="A10" s="63">
        <v>2</v>
      </c>
      <c r="B10" s="58" t="s">
        <v>270</v>
      </c>
      <c r="C10" s="70" t="s">
        <v>281</v>
      </c>
      <c r="D10" s="71" t="s">
        <v>282</v>
      </c>
      <c r="E10" s="72" t="s">
        <v>283</v>
      </c>
      <c r="F10" s="71" t="s">
        <v>81</v>
      </c>
      <c r="G10" s="74" t="str">
        <f>IF(K10= TRUE,"Applicable","N.A")</f>
        <v>N.A</v>
      </c>
      <c r="H10" s="130"/>
      <c r="I10" s="253"/>
      <c r="J10" s="251"/>
      <c r="K10" s="28" t="b">
        <f>OR(ISNUMBER(FIND('1 - General description'!$H$51,F10)),ISNUMBER(FIND('1 - General description'!$H$52,F10)),ISNUMBER(FIND('1 - General description'!$H$53,F10)),ISNUMBER(FIND('1 - General description'!$H$54,F10)),ISNUMBER(FIND('1 - General description'!$H$55,F10)),ISNUMBER(FIND('1 - General description'!$H$56,F10)),ISNUMBER(FIND('1 - General description'!$H$57,F10)),ISNUMBER(FIND('1 - General description'!$H$58,F10)),ISNUMBER(FIND('1 - General description'!$H$59,F10)),ISNUMBER(FIND('1 - General description'!$H$60,F10)),ISNUMBER(FIND('1 - General description'!$H$61,F10)),ISNUMBER(FIND('1 - General description'!$H$62,F10)),ISNUMBER(FIND('1 - General description'!$H$63,F10)),ISNUMBER(FIND('1 - General description'!$H$64,F10)))</f>
        <v>0</v>
      </c>
    </row>
    <row r="11" spans="1:11" ht="109.5" hidden="1" customHeight="1">
      <c r="A11" s="63">
        <v>2</v>
      </c>
      <c r="B11" s="58" t="s">
        <v>270</v>
      </c>
      <c r="C11" s="70" t="s">
        <v>281</v>
      </c>
      <c r="D11" s="71" t="s">
        <v>284</v>
      </c>
      <c r="E11" s="72" t="s">
        <v>285</v>
      </c>
      <c r="F11" s="71" t="s">
        <v>101</v>
      </c>
      <c r="G11" s="74" t="str">
        <f>IF(AND('1 - General description'!$G$51=FALSE, K11= TRUE),"Applicable","N.A")</f>
        <v>N.A</v>
      </c>
      <c r="H11" s="130"/>
      <c r="I11" s="253"/>
      <c r="J11" s="251"/>
      <c r="K11" s="28" t="b">
        <f>OR(ISNUMBER(FIND('1 - General description'!$H$51,F11)),ISNUMBER(FIND('1 - General description'!$H$52,F11)),ISNUMBER(FIND('1 - General description'!$H$53,F11)),ISNUMBER(FIND('1 - General description'!$H$54,F11)),ISNUMBER(FIND('1 - General description'!$H$55,F11)),ISNUMBER(FIND('1 - General description'!$H$56,F11)),ISNUMBER(FIND('1 - General description'!$H$57,F11)),ISNUMBER(FIND('1 - General description'!$H$58,F11)),ISNUMBER(FIND('1 - General description'!$H$59,F11)),ISNUMBER(FIND('1 - General description'!$H$60,F11)),ISNUMBER(FIND('1 - General description'!$H$61,F11)),ISNUMBER(FIND('1 - General description'!$H$62,F11)),ISNUMBER(FIND('1 - General description'!$H$63,F11)),ISNUMBER(FIND('1 - General description'!$H$64,F11)))</f>
        <v>0</v>
      </c>
    </row>
    <row r="12" spans="1:11" ht="117" hidden="1" customHeight="1">
      <c r="A12" s="63">
        <v>2</v>
      </c>
      <c r="B12" s="58" t="s">
        <v>270</v>
      </c>
      <c r="C12" s="70" t="s">
        <v>286</v>
      </c>
      <c r="D12" s="71" t="s">
        <v>287</v>
      </c>
      <c r="E12" s="72" t="s">
        <v>288</v>
      </c>
      <c r="F12" s="71" t="s">
        <v>101</v>
      </c>
      <c r="G12" s="74" t="str">
        <f>IF(AND('1 - General description'!$G$51=FALSE, K12= TRUE),"Applicable","N.A")</f>
        <v>N.A</v>
      </c>
      <c r="H12" s="130"/>
      <c r="I12" s="253"/>
      <c r="J12" s="251"/>
      <c r="K12" s="28" t="b">
        <f>OR(ISNUMBER(FIND('1 - General description'!$H$51,F12)),ISNUMBER(FIND('1 - General description'!$H$52,F12)),ISNUMBER(FIND('1 - General description'!$H$53,F12)),ISNUMBER(FIND('1 - General description'!$H$54,F12)),ISNUMBER(FIND('1 - General description'!$H$55,F12)),ISNUMBER(FIND('1 - General description'!$H$56,F12)),ISNUMBER(FIND('1 - General description'!$H$57,F12)),ISNUMBER(FIND('1 - General description'!$H$58,F12)),ISNUMBER(FIND('1 - General description'!$H$59,F12)),ISNUMBER(FIND('1 - General description'!$H$60,F12)),ISNUMBER(FIND('1 - General description'!$H$61,F12)),ISNUMBER(FIND('1 - General description'!$H$62,F12)),ISNUMBER(FIND('1 - General description'!$H$63,F12)),ISNUMBER(FIND('1 - General description'!$H$64,F12)))</f>
        <v>0</v>
      </c>
    </row>
    <row r="13" spans="1:11" ht="141" customHeight="1">
      <c r="A13" s="63">
        <v>2</v>
      </c>
      <c r="B13" s="58" t="s">
        <v>270</v>
      </c>
      <c r="C13" s="70" t="s">
        <v>289</v>
      </c>
      <c r="D13" s="71" t="s">
        <v>290</v>
      </c>
      <c r="E13" s="72" t="s">
        <v>291</v>
      </c>
      <c r="F13" s="71" t="s">
        <v>292</v>
      </c>
      <c r="G13" s="74" t="str">
        <f>IF(K13= TRUE,"Applicable","N.A")</f>
        <v>Applicable</v>
      </c>
      <c r="H13" s="130"/>
      <c r="I13" s="253"/>
      <c r="J13" s="251"/>
      <c r="K13" s="28" t="b">
        <f>OR(ISNUMBER(FIND('1 - General description'!$H$51,F13)),ISNUMBER(FIND('1 - General description'!$H$52,F13)),ISNUMBER(FIND('1 - General description'!$H$53,F13)),ISNUMBER(FIND('1 - General description'!$H$54,F13)),ISNUMBER(FIND('1 - General description'!$H$55,F13)),ISNUMBER(FIND('1 - General description'!$H$56,F13)),ISNUMBER(FIND('1 - General description'!$H$57,F13)),ISNUMBER(FIND('1 - General description'!$H$58,F13)),ISNUMBER(FIND('1 - General description'!$H$59,F13)),ISNUMBER(FIND('1 - General description'!$H$60,F13)),ISNUMBER(FIND('1 - General description'!$H$61,F13)),ISNUMBER(FIND('1 - General description'!$H$62,F13)),ISNUMBER(FIND('1 - General description'!$H$63,F13)),ISNUMBER(FIND('1 - General description'!$H$64,F13)))</f>
        <v>1</v>
      </c>
    </row>
    <row r="14" spans="1:11" ht="99.75" hidden="1" customHeight="1">
      <c r="A14" s="63">
        <v>2</v>
      </c>
      <c r="B14" s="58" t="s">
        <v>270</v>
      </c>
      <c r="C14" s="70" t="s">
        <v>293</v>
      </c>
      <c r="D14" s="71" t="s">
        <v>294</v>
      </c>
      <c r="E14" s="72" t="s">
        <v>295</v>
      </c>
      <c r="F14" s="71" t="s">
        <v>101</v>
      </c>
      <c r="G14" s="74" t="str">
        <f>IF(AND('1 - General description'!$G$51=FALSE, K14= TRUE),"Applicable","N.A")</f>
        <v>N.A</v>
      </c>
      <c r="H14" s="130"/>
      <c r="I14" s="253"/>
      <c r="J14" s="251"/>
      <c r="K14" s="28" t="b">
        <f>OR(ISNUMBER(FIND('1 - General description'!$H$51,F14)),ISNUMBER(FIND('1 - General description'!$H$52,F14)),ISNUMBER(FIND('1 - General description'!$H$53,F14)),ISNUMBER(FIND('1 - General description'!$H$54,F14)),ISNUMBER(FIND('1 - General description'!$H$55,F14)),ISNUMBER(FIND('1 - General description'!$H$56,F14)),ISNUMBER(FIND('1 - General description'!$H$57,F14)),ISNUMBER(FIND('1 - General description'!$H$58,F14)),ISNUMBER(FIND('1 - General description'!$H$59,F14)),ISNUMBER(FIND('1 - General description'!$H$60,F14)),ISNUMBER(FIND('1 - General description'!$H$61,F14)),ISNUMBER(FIND('1 - General description'!$H$62,F14)),ISNUMBER(FIND('1 - General description'!$H$63,F14)),ISNUMBER(FIND('1 - General description'!$H$64,F14)))</f>
        <v>0</v>
      </c>
    </row>
    <row r="15" spans="1:11" ht="265.5" customHeight="1">
      <c r="A15" s="64">
        <v>2</v>
      </c>
      <c r="B15" s="58" t="s">
        <v>270</v>
      </c>
      <c r="C15" s="70" t="s">
        <v>296</v>
      </c>
      <c r="D15" s="71" t="s">
        <v>297</v>
      </c>
      <c r="E15" s="72" t="s">
        <v>298</v>
      </c>
      <c r="F15" s="71" t="s">
        <v>299</v>
      </c>
      <c r="G15" s="74" t="str">
        <f>IF(AND('1 - General description'!$G$51=FALSE, K15= TRUE),"Applicable","N.A")</f>
        <v>Applicable</v>
      </c>
      <c r="H15" s="130"/>
      <c r="I15" s="253"/>
      <c r="J15" s="251"/>
      <c r="K15" s="28" t="b">
        <f>OR(ISNUMBER(FIND('1 - General description'!$H$51,F15)),ISNUMBER(FIND('1 - General description'!$H$52,F15)),ISNUMBER(FIND('1 - General description'!$H$53,F15)),ISNUMBER(FIND('1 - General description'!$H$54,F15)),ISNUMBER(FIND('1 - General description'!$H$55,F15)),ISNUMBER(FIND('1 - General description'!$H$56,F15)),ISNUMBER(FIND('1 - General description'!$H$57,F15)),ISNUMBER(FIND('1 - General description'!$H$58,F15)),ISNUMBER(FIND('1 - General description'!$H$59,F15)),ISNUMBER(FIND('1 - General description'!$H$60,F15)),ISNUMBER(FIND('1 - General description'!$H$61,F15)),ISNUMBER(FIND('1 - General description'!$H$62,F15)),ISNUMBER(FIND('1 - General description'!$H$63,F15)),ISNUMBER(FIND('1 - General description'!$H$64,F15)))</f>
        <v>1</v>
      </c>
    </row>
    <row r="16" spans="1:11" ht="150" customHeight="1">
      <c r="A16" s="62">
        <v>3</v>
      </c>
      <c r="B16" s="58" t="s">
        <v>300</v>
      </c>
      <c r="C16" s="70" t="s">
        <v>301</v>
      </c>
      <c r="D16" s="71" t="s">
        <v>302</v>
      </c>
      <c r="E16" s="72" t="s">
        <v>303</v>
      </c>
      <c r="F16" s="71" t="s">
        <v>269</v>
      </c>
      <c r="G16" s="74" t="str">
        <f>IF(AND('1 - General description'!$G$51=FALSE, K16= TRUE),"Applicable","N.A")</f>
        <v>Applicable</v>
      </c>
      <c r="H16" s="130"/>
      <c r="I16" s="253"/>
      <c r="J16" s="251"/>
      <c r="K16" s="28" t="b">
        <f>OR(ISNUMBER(FIND('1 - General description'!$H$51,F16)),ISNUMBER(FIND('1 - General description'!$H$52,F16)),ISNUMBER(FIND('1 - General description'!$H$53,F16)),ISNUMBER(FIND('1 - General description'!$H$54,F16)),ISNUMBER(FIND('1 - General description'!$H$55,F16)),ISNUMBER(FIND('1 - General description'!$H$56,F16)),ISNUMBER(FIND('1 - General description'!$H$57,F16)),ISNUMBER(FIND('1 - General description'!$H$58,F16)),ISNUMBER(FIND('1 - General description'!$H$59,F16)),ISNUMBER(FIND('1 - General description'!$H$60,F16)),ISNUMBER(FIND('1 - General description'!$H$61,F16)),ISNUMBER(FIND('1 - General description'!$H$62,F16)),ISNUMBER(FIND('1 - General description'!$H$63,F16)),ISNUMBER(FIND('1 - General description'!$H$64,F16)))</f>
        <v>1</v>
      </c>
    </row>
    <row r="17" spans="1:11" ht="214.5" customHeight="1">
      <c r="A17" s="64">
        <v>3</v>
      </c>
      <c r="B17" s="58" t="s">
        <v>300</v>
      </c>
      <c r="C17" s="70" t="s">
        <v>304</v>
      </c>
      <c r="D17" s="71" t="s">
        <v>305</v>
      </c>
      <c r="E17" s="72" t="s">
        <v>306</v>
      </c>
      <c r="F17" s="71" t="s">
        <v>280</v>
      </c>
      <c r="G17" s="74" t="str">
        <f>IF(K17= TRUE,"Applicable","N.A")</f>
        <v>Applicable</v>
      </c>
      <c r="H17" s="130"/>
      <c r="I17" s="253"/>
      <c r="J17" s="251"/>
      <c r="K17" s="28" t="b">
        <f>OR(ISNUMBER(FIND('1 - General description'!$H$51,F17)),ISNUMBER(FIND('1 - General description'!$H$52,F17)),ISNUMBER(FIND('1 - General description'!$H$53,F17)),ISNUMBER(FIND('1 - General description'!$H$54,F17)),ISNUMBER(FIND('1 - General description'!$H$55,F17)),ISNUMBER(FIND('1 - General description'!$H$56,F17)),ISNUMBER(FIND('1 - General description'!$H$57,F17)),ISNUMBER(FIND('1 - General description'!$H$58,F17)),ISNUMBER(FIND('1 - General description'!$H$59,F17)),ISNUMBER(FIND('1 - General description'!$H$60,F17)),ISNUMBER(FIND('1 - General description'!$H$61,F17)),ISNUMBER(FIND('1 - General description'!$H$62,F17)),ISNUMBER(FIND('1 - General description'!$H$63,F17)),ISNUMBER(FIND('1 - General description'!$H$64,F17)))</f>
        <v>1</v>
      </c>
    </row>
    <row r="18" spans="1:11" ht="144" hidden="1" customHeight="1">
      <c r="A18" s="64">
        <v>3</v>
      </c>
      <c r="B18" s="58" t="s">
        <v>300</v>
      </c>
      <c r="C18" s="70" t="s">
        <v>307</v>
      </c>
      <c r="D18" s="71" t="s">
        <v>308</v>
      </c>
      <c r="E18" s="72" t="s">
        <v>309</v>
      </c>
      <c r="F18" s="71" t="s">
        <v>81</v>
      </c>
      <c r="G18" s="74" t="str">
        <f>IF(K18= TRUE,"Applicable","N.A")</f>
        <v>N.A</v>
      </c>
      <c r="H18" s="130"/>
      <c r="I18" s="253"/>
      <c r="J18" s="251"/>
      <c r="K18" s="28" t="b">
        <f>OR(ISNUMBER(FIND('1 - General description'!$H$51,F18)),ISNUMBER(FIND('1 - General description'!$H$52,F18)),ISNUMBER(FIND('1 - General description'!$H$53,F18)),ISNUMBER(FIND('1 - General description'!$H$54,F18)),ISNUMBER(FIND('1 - General description'!$H$55,F18)),ISNUMBER(FIND('1 - General description'!$H$56,F18)),ISNUMBER(FIND('1 - General description'!$H$57,F18)),ISNUMBER(FIND('1 - General description'!$H$58,F18)),ISNUMBER(FIND('1 - General description'!$H$59,F18)),ISNUMBER(FIND('1 - General description'!$H$60,F18)),ISNUMBER(FIND('1 - General description'!$H$61,F18)),ISNUMBER(FIND('1 - General description'!$H$62,F18)),ISNUMBER(FIND('1 - General description'!$H$63,F18)),ISNUMBER(FIND('1 - General description'!$H$64,F18)))</f>
        <v>0</v>
      </c>
    </row>
    <row r="19" spans="1:11" ht="246" customHeight="1">
      <c r="A19" s="59">
        <v>4</v>
      </c>
      <c r="B19" s="58" t="s">
        <v>310</v>
      </c>
      <c r="C19" s="70" t="s">
        <v>311</v>
      </c>
      <c r="D19" s="71" t="s">
        <v>312</v>
      </c>
      <c r="E19" s="72" t="s">
        <v>313</v>
      </c>
      <c r="F19" s="71" t="s">
        <v>314</v>
      </c>
      <c r="G19" s="74" t="str">
        <f>IF(AND('1 - General description'!$G$51=FALSE, K19= TRUE),"Applicable","N.A")</f>
        <v>Applicable</v>
      </c>
      <c r="H19" s="130"/>
      <c r="I19" s="253"/>
      <c r="J19" s="251"/>
      <c r="K19" s="28" t="b">
        <f>OR(ISNUMBER(FIND('1 - General description'!$H$51,F19)),ISNUMBER(FIND('1 - General description'!$H$52,F19)),ISNUMBER(FIND('1 - General description'!$H$53,F19)),ISNUMBER(FIND('1 - General description'!$H$54,F19)),ISNUMBER(FIND('1 - General description'!$H$55,F19)),ISNUMBER(FIND('1 - General description'!$H$56,F19)),ISNUMBER(FIND('1 - General description'!$H$57,F19)),ISNUMBER(FIND('1 - General description'!$H$58,F19)),ISNUMBER(FIND('1 - General description'!$H$59,F19)),ISNUMBER(FIND('1 - General description'!$H$60,F19)),ISNUMBER(FIND('1 - General description'!$H$61,F19)),ISNUMBER(FIND('1 - General description'!$H$62,F19)),ISNUMBER(FIND('1 - General description'!$H$63,F19)),ISNUMBER(FIND('1 - General description'!$H$64,F19)))</f>
        <v>1</v>
      </c>
    </row>
    <row r="20" spans="1:11" ht="134.25" customHeight="1">
      <c r="A20" s="60">
        <v>4</v>
      </c>
      <c r="B20" s="58" t="s">
        <v>310</v>
      </c>
      <c r="C20" s="70" t="s">
        <v>315</v>
      </c>
      <c r="D20" s="71" t="s">
        <v>316</v>
      </c>
      <c r="E20" s="72" t="s">
        <v>317</v>
      </c>
      <c r="F20" s="71" t="s">
        <v>318</v>
      </c>
      <c r="G20" s="74" t="str">
        <f>IF(K20= TRUE,"Applicable","N.A")</f>
        <v>Applicable</v>
      </c>
      <c r="H20" s="130"/>
      <c r="I20" s="253"/>
      <c r="J20" s="251"/>
      <c r="K20" s="28" t="b">
        <f>OR(ISNUMBER(FIND('1 - General description'!$H$51,F20)),ISNUMBER(FIND('1 - General description'!$H$52,F20)),ISNUMBER(FIND('1 - General description'!$H$53,F20)),ISNUMBER(FIND('1 - General description'!$H$54,F20)),ISNUMBER(FIND('1 - General description'!$H$55,F20)),ISNUMBER(FIND('1 - General description'!$H$56,F20)),ISNUMBER(FIND('1 - General description'!$H$57,F20)),ISNUMBER(FIND('1 - General description'!$H$58,F20)),ISNUMBER(FIND('1 - General description'!$H$59,F20)),ISNUMBER(FIND('1 - General description'!$H$60,F20)),ISNUMBER(FIND('1 - General description'!$H$61,F20)),ISNUMBER(FIND('1 - General description'!$H$62,F20)),ISNUMBER(FIND('1 - General description'!$H$63,F20)),ISNUMBER(FIND('1 - General description'!$H$64,F20)))</f>
        <v>1</v>
      </c>
    </row>
    <row r="21" spans="1:11" ht="246.5">
      <c r="A21" s="60">
        <v>4</v>
      </c>
      <c r="B21" s="58" t="s">
        <v>310</v>
      </c>
      <c r="C21" s="70" t="s">
        <v>319</v>
      </c>
      <c r="D21" s="71" t="s">
        <v>320</v>
      </c>
      <c r="E21" s="72" t="s">
        <v>321</v>
      </c>
      <c r="F21" s="71" t="s">
        <v>299</v>
      </c>
      <c r="G21" s="74" t="str">
        <f>IF(AND('1 - General description'!$G$51=FALSE, K21= TRUE),"Applicable","N.A")</f>
        <v>Applicable</v>
      </c>
      <c r="H21" s="130"/>
      <c r="I21" s="253"/>
      <c r="J21" s="251"/>
      <c r="K21" s="28" t="b">
        <f>OR(ISNUMBER(FIND('1 - General description'!$H$51,F21)),ISNUMBER(FIND('1 - General description'!$H$52,F21)),ISNUMBER(FIND('1 - General description'!$H$53,F21)),ISNUMBER(FIND('1 - General description'!$H$54,F21)),ISNUMBER(FIND('1 - General description'!$H$55,F21)),ISNUMBER(FIND('1 - General description'!$H$56,F21)),ISNUMBER(FIND('1 - General description'!$H$57,F21)),ISNUMBER(FIND('1 - General description'!$H$58,F21)),ISNUMBER(FIND('1 - General description'!$H$59,F21)),ISNUMBER(FIND('1 - General description'!$H$60,F21)),ISNUMBER(FIND('1 - General description'!$H$61,F21)),ISNUMBER(FIND('1 - General description'!$H$62,F21)),ISNUMBER(FIND('1 - General description'!$H$63,F21)),ISNUMBER(FIND('1 - General description'!$H$64,F21)))</f>
        <v>1</v>
      </c>
    </row>
    <row r="22" spans="1:11" ht="89.25" customHeight="1">
      <c r="A22" s="60">
        <v>4</v>
      </c>
      <c r="B22" s="58" t="s">
        <v>310</v>
      </c>
      <c r="C22" s="70" t="s">
        <v>322</v>
      </c>
      <c r="D22" s="71" t="s">
        <v>323</v>
      </c>
      <c r="E22" s="72" t="s">
        <v>324</v>
      </c>
      <c r="F22" s="71" t="s">
        <v>325</v>
      </c>
      <c r="G22" s="74" t="str">
        <f>IF(AND('1 - General description'!$G$51=FALSE, K22= TRUE),"Applicable","N.A")</f>
        <v>Applicable</v>
      </c>
      <c r="H22" s="130"/>
      <c r="I22" s="253"/>
      <c r="J22" s="251"/>
      <c r="K22" s="28" t="b">
        <f>OR(ISNUMBER(FIND('1 - General description'!$H$51,F22)),ISNUMBER(FIND('1 - General description'!$H$52,F22)),ISNUMBER(FIND('1 - General description'!$H$53,F22)),ISNUMBER(FIND('1 - General description'!$H$54,F22)),ISNUMBER(FIND('1 - General description'!$H$55,F22)),ISNUMBER(FIND('1 - General description'!$H$56,F22)),ISNUMBER(FIND('1 - General description'!$H$57,F22)),ISNUMBER(FIND('1 - General description'!$H$58,F22)),ISNUMBER(FIND('1 - General description'!$H$59,F22)),ISNUMBER(FIND('1 - General description'!$H$60,F22)),ISNUMBER(FIND('1 - General description'!$H$61,F22)),ISNUMBER(FIND('1 - General description'!$H$62,F22)),ISNUMBER(FIND('1 - General description'!$H$63,F22)),ISNUMBER(FIND('1 - General description'!$H$64,F22)))</f>
        <v>1</v>
      </c>
    </row>
    <row r="23" spans="1:11" ht="362.5">
      <c r="A23" s="60">
        <v>4</v>
      </c>
      <c r="B23" s="58" t="s">
        <v>310</v>
      </c>
      <c r="C23" s="70" t="s">
        <v>326</v>
      </c>
      <c r="D23" s="71" t="s">
        <v>327</v>
      </c>
      <c r="E23" s="173" t="s">
        <v>328</v>
      </c>
      <c r="F23" s="71" t="s">
        <v>329</v>
      </c>
      <c r="G23" s="74" t="str">
        <f>IF(K23= TRUE,"Applicable","N.A")</f>
        <v>Applicable</v>
      </c>
      <c r="H23" s="130"/>
      <c r="I23" s="253"/>
      <c r="J23" s="251"/>
      <c r="K23" s="28" t="b">
        <f>OR(ISNUMBER(FIND('1 - General description'!$H$51,F23)),ISNUMBER(FIND('1 - General description'!$H$52,F23)),ISNUMBER(FIND('1 - General description'!$H$53,F23)),ISNUMBER(FIND('1 - General description'!$H$54,F23)),ISNUMBER(FIND('1 - General description'!$H$55,F23)),ISNUMBER(FIND('1 - General description'!$H$56,F23)),ISNUMBER(FIND('1 - General description'!$H$57,F23)),ISNUMBER(FIND('1 - General description'!$H$58,F23)),ISNUMBER(FIND('1 - General description'!$H$59,F23)),ISNUMBER(FIND('1 - General description'!$H$60,F23)),ISNUMBER(FIND('1 - General description'!$H$61,F23)),ISNUMBER(FIND('1 - General description'!$H$62,F23)),ISNUMBER(FIND('1 - General description'!$H$63,F23)),ISNUMBER(FIND('1 - General description'!$H$64,F23)))</f>
        <v>1</v>
      </c>
    </row>
    <row r="24" spans="1:11" ht="214.5" customHeight="1">
      <c r="A24" s="61">
        <v>4</v>
      </c>
      <c r="B24" s="58" t="s">
        <v>310</v>
      </c>
      <c r="C24" s="70" t="s">
        <v>330</v>
      </c>
      <c r="D24" s="71" t="s">
        <v>331</v>
      </c>
      <c r="E24" s="239" t="s">
        <v>1566</v>
      </c>
      <c r="F24" s="71" t="s">
        <v>332</v>
      </c>
      <c r="G24" s="74" t="str">
        <f>IF(AND('1 - General description'!$G$51=FALSE, K24= TRUE),"Applicable","N.A")</f>
        <v>Applicable</v>
      </c>
      <c r="H24" s="130"/>
      <c r="I24" s="253"/>
      <c r="J24" s="251"/>
      <c r="K24" s="28" t="b">
        <f>OR(ISNUMBER(FIND('1 - General description'!$H$51,F24)),ISNUMBER(FIND('1 - General description'!$H$52,F24)),ISNUMBER(FIND('1 - General description'!$H$53,F24)),ISNUMBER(FIND('1 - General description'!$H$54,F24)),ISNUMBER(FIND('1 - General description'!$H$55,F24)),ISNUMBER(FIND('1 - General description'!$H$56,F24)),ISNUMBER(FIND('1 - General description'!$H$57,F24)),ISNUMBER(FIND('1 - General description'!$H$58,F24)),ISNUMBER(FIND('1 - General description'!$H$59,F24)),ISNUMBER(FIND('1 - General description'!$H$60,F24)),ISNUMBER(FIND('1 - General description'!$H$61,F24)),ISNUMBER(FIND('1 - General description'!$H$62,F24)),ISNUMBER(FIND('1 - General description'!$H$63,F24)),ISNUMBER(FIND('1 - General description'!$H$64,F24)))</f>
        <v>1</v>
      </c>
    </row>
    <row r="25" spans="1:11" ht="150.75" customHeight="1">
      <c r="A25" s="61">
        <v>4</v>
      </c>
      <c r="B25" s="58" t="s">
        <v>310</v>
      </c>
      <c r="C25" s="70" t="s">
        <v>333</v>
      </c>
      <c r="D25" s="71" t="s">
        <v>334</v>
      </c>
      <c r="E25" s="72" t="s">
        <v>335</v>
      </c>
      <c r="F25" s="71" t="s">
        <v>336</v>
      </c>
      <c r="G25" s="74" t="str">
        <f>IF(AND('1 - General description'!$G$51=FALSE, K25= TRUE),"Applicable","N.A")</f>
        <v>Applicable</v>
      </c>
      <c r="H25" s="130"/>
      <c r="I25" s="253"/>
      <c r="J25" s="251"/>
      <c r="K25" s="28" t="b">
        <f>OR(ISNUMBER(FIND('1 - General description'!$H$51,F25)),ISNUMBER(FIND('1 - General description'!$H$52,F25)),ISNUMBER(FIND('1 - General description'!$H$53,F25)),ISNUMBER(FIND('1 - General description'!$H$54,F25)),ISNUMBER(FIND('1 - General description'!$H$55,F25)),ISNUMBER(FIND('1 - General description'!$H$56,F25)),ISNUMBER(FIND('1 - General description'!$H$57,F25)),ISNUMBER(FIND('1 - General description'!$H$58,F25)),ISNUMBER(FIND('1 - General description'!$H$59,F25)),ISNUMBER(FIND('1 - General description'!$H$60,F25)),ISNUMBER(FIND('1 - General description'!$H$61,F25)),ISNUMBER(FIND('1 - General description'!$H$62,F25)),ISNUMBER(FIND('1 - General description'!$H$63,F25)),ISNUMBER(FIND('1 - General description'!$H$64,F25)))</f>
        <v>1</v>
      </c>
    </row>
    <row r="26" spans="1:11" ht="72.5">
      <c r="A26" s="59">
        <v>5</v>
      </c>
      <c r="B26" s="58" t="s">
        <v>337</v>
      </c>
      <c r="C26" s="70" t="s">
        <v>338</v>
      </c>
      <c r="D26" s="71" t="s">
        <v>339</v>
      </c>
      <c r="E26" s="72" t="s">
        <v>340</v>
      </c>
      <c r="F26" s="71" t="s">
        <v>341</v>
      </c>
      <c r="G26" s="74" t="str">
        <f>IF(AND('1 - General description'!$G$51=FALSE, K26= TRUE),"Applicable","N.A")</f>
        <v>Applicable</v>
      </c>
      <c r="H26" s="130"/>
      <c r="I26" s="253"/>
      <c r="J26" s="251"/>
      <c r="K26" s="28" t="b">
        <f>OR(ISNUMBER(FIND('1 - General description'!$H$51,F26)),ISNUMBER(FIND('1 - General description'!$H$52,F26)),ISNUMBER(FIND('1 - General description'!$H$53,F26)),ISNUMBER(FIND('1 - General description'!$H$54,F26)),ISNUMBER(FIND('1 - General description'!$H$55,F26)),ISNUMBER(FIND('1 - General description'!$H$56,F26)),ISNUMBER(FIND('1 - General description'!$H$57,F26)),ISNUMBER(FIND('1 - General description'!$H$58,F26)),ISNUMBER(FIND('1 - General description'!$H$59,F26)),ISNUMBER(FIND('1 - General description'!$H$60,F26)),ISNUMBER(FIND('1 - General description'!$H$61,F26)),ISNUMBER(FIND('1 - General description'!$H$62,F26)),ISNUMBER(FIND('1 - General description'!$H$63,F26)),ISNUMBER(FIND('1 - General description'!$H$64,F26)))</f>
        <v>1</v>
      </c>
    </row>
    <row r="27" spans="1:11" ht="87">
      <c r="A27" s="60">
        <v>5</v>
      </c>
      <c r="B27" s="58" t="s">
        <v>337</v>
      </c>
      <c r="C27" s="70" t="s">
        <v>342</v>
      </c>
      <c r="D27" s="71" t="s">
        <v>343</v>
      </c>
      <c r="E27" s="72" t="s">
        <v>344</v>
      </c>
      <c r="F27" s="71" t="s">
        <v>341</v>
      </c>
      <c r="G27" s="74" t="str">
        <f>IF(AND('1 - General description'!$G$51=FALSE, K27= TRUE),"Applicable","N.A")</f>
        <v>Applicable</v>
      </c>
      <c r="H27" s="130"/>
      <c r="I27" s="253"/>
      <c r="J27" s="251"/>
      <c r="K27" s="28" t="b">
        <f>OR(ISNUMBER(FIND('1 - General description'!$H$51,F27)),ISNUMBER(FIND('1 - General description'!$H$52,F27)),ISNUMBER(FIND('1 - General description'!$H$53,F27)),ISNUMBER(FIND('1 - General description'!$H$54,F27)),ISNUMBER(FIND('1 - General description'!$H$55,F27)),ISNUMBER(FIND('1 - General description'!$H$56,F27)),ISNUMBER(FIND('1 - General description'!$H$57,F27)),ISNUMBER(FIND('1 - General description'!$H$58,F27)),ISNUMBER(FIND('1 - General description'!$H$59,F27)),ISNUMBER(FIND('1 - General description'!$H$60,F27)),ISNUMBER(FIND('1 - General description'!$H$61,F27)),ISNUMBER(FIND('1 - General description'!$H$62,F27)),ISNUMBER(FIND('1 - General description'!$H$63,F27)),ISNUMBER(FIND('1 - General description'!$H$64,F27)))</f>
        <v>1</v>
      </c>
    </row>
    <row r="28" spans="1:11" ht="116">
      <c r="A28" s="60">
        <v>5</v>
      </c>
      <c r="B28" s="58" t="s">
        <v>337</v>
      </c>
      <c r="C28" s="70" t="s">
        <v>345</v>
      </c>
      <c r="D28" s="71" t="s">
        <v>346</v>
      </c>
      <c r="E28" s="72" t="s">
        <v>347</v>
      </c>
      <c r="F28" s="71" t="s">
        <v>341</v>
      </c>
      <c r="G28" s="74" t="str">
        <f>IF(AND('1 - General description'!$G$51=FALSE, K28= TRUE),"Applicable","N.A")</f>
        <v>Applicable</v>
      </c>
      <c r="H28" s="130"/>
      <c r="I28" s="253"/>
      <c r="J28" s="251"/>
      <c r="K28" s="28" t="b">
        <f>OR(ISNUMBER(FIND('1 - General description'!$H$51,F28)),ISNUMBER(FIND('1 - General description'!$H$52,F28)),ISNUMBER(FIND('1 - General description'!$H$53,F28)),ISNUMBER(FIND('1 - General description'!$H$54,F28)),ISNUMBER(FIND('1 - General description'!$H$55,F28)),ISNUMBER(FIND('1 - General description'!$H$56,F28)),ISNUMBER(FIND('1 - General description'!$H$57,F28)),ISNUMBER(FIND('1 - General description'!$H$58,F28)),ISNUMBER(FIND('1 - General description'!$H$59,F28)),ISNUMBER(FIND('1 - General description'!$H$60,F28)),ISNUMBER(FIND('1 - General description'!$H$61,F28)),ISNUMBER(FIND('1 - General description'!$H$62,F28)),ISNUMBER(FIND('1 - General description'!$H$63,F28)),ISNUMBER(FIND('1 - General description'!$H$64,F28)))</f>
        <v>1</v>
      </c>
    </row>
    <row r="29" spans="1:11" ht="201" customHeight="1">
      <c r="A29" s="60">
        <v>5</v>
      </c>
      <c r="B29" s="58" t="s">
        <v>337</v>
      </c>
      <c r="C29" s="70" t="s">
        <v>348</v>
      </c>
      <c r="D29" s="71" t="s">
        <v>349</v>
      </c>
      <c r="E29" s="72" t="s">
        <v>350</v>
      </c>
      <c r="F29" s="71" t="s">
        <v>341</v>
      </c>
      <c r="G29" s="74" t="str">
        <f>IF(AND('1 - General description'!$G$51=FALSE, K29= TRUE),"Applicable","N.A")</f>
        <v>Applicable</v>
      </c>
      <c r="H29" s="130"/>
      <c r="I29" s="253"/>
      <c r="J29" s="251"/>
      <c r="K29" s="28" t="b">
        <f>OR(ISNUMBER(FIND('1 - General description'!$H$51,F29)),ISNUMBER(FIND('1 - General description'!$H$52,F29)),ISNUMBER(FIND('1 - General description'!$H$53,F29)),ISNUMBER(FIND('1 - General description'!$H$54,F29)),ISNUMBER(FIND('1 - General description'!$H$55,F29)),ISNUMBER(FIND('1 - General description'!$H$56,F29)),ISNUMBER(FIND('1 - General description'!$H$57,F29)),ISNUMBER(FIND('1 - General description'!$H$58,F29)),ISNUMBER(FIND('1 - General description'!$H$59,F29)),ISNUMBER(FIND('1 - General description'!$H$60,F29)),ISNUMBER(FIND('1 - General description'!$H$61,F29)),ISNUMBER(FIND('1 - General description'!$H$62,F29)),ISNUMBER(FIND('1 - General description'!$H$63,F29)),ISNUMBER(FIND('1 - General description'!$H$64,F29)))</f>
        <v>1</v>
      </c>
    </row>
    <row r="30" spans="1:11" ht="168.75" customHeight="1">
      <c r="A30" s="60">
        <v>5</v>
      </c>
      <c r="B30" s="58" t="s">
        <v>337</v>
      </c>
      <c r="C30" s="70" t="s">
        <v>351</v>
      </c>
      <c r="D30" s="71" t="s">
        <v>352</v>
      </c>
      <c r="E30" s="72" t="s">
        <v>353</v>
      </c>
      <c r="F30" s="71" t="s">
        <v>341</v>
      </c>
      <c r="G30" s="74" t="str">
        <f>IF(AND('1 - General description'!$G$51=FALSE, K30= TRUE),"Applicable","N.A")</f>
        <v>Applicable</v>
      </c>
      <c r="H30" s="130"/>
      <c r="I30" s="253"/>
      <c r="J30" s="251"/>
      <c r="K30" s="28" t="b">
        <f>OR(ISNUMBER(FIND('1 - General description'!$H$51,F30)),ISNUMBER(FIND('1 - General description'!$H$52,F30)),ISNUMBER(FIND('1 - General description'!$H$53,F30)),ISNUMBER(FIND('1 - General description'!$H$54,F30)),ISNUMBER(FIND('1 - General description'!$H$55,F30)),ISNUMBER(FIND('1 - General description'!$H$56,F30)),ISNUMBER(FIND('1 - General description'!$H$57,F30)),ISNUMBER(FIND('1 - General description'!$H$58,F30)),ISNUMBER(FIND('1 - General description'!$H$59,F30)),ISNUMBER(FIND('1 - General description'!$H$60,F30)),ISNUMBER(FIND('1 - General description'!$H$61,F30)),ISNUMBER(FIND('1 - General description'!$H$62,F30)),ISNUMBER(FIND('1 - General description'!$H$63,F30)),ISNUMBER(FIND('1 - General description'!$H$64,F30)))</f>
        <v>1</v>
      </c>
    </row>
    <row r="31" spans="1:11" ht="58">
      <c r="A31" s="60">
        <v>5</v>
      </c>
      <c r="B31" s="58" t="s">
        <v>337</v>
      </c>
      <c r="C31" s="70" t="s">
        <v>354</v>
      </c>
      <c r="D31" s="71" t="s">
        <v>355</v>
      </c>
      <c r="E31" s="72" t="s">
        <v>356</v>
      </c>
      <c r="F31" s="71" t="s">
        <v>341</v>
      </c>
      <c r="G31" s="74" t="str">
        <f>IF(AND('1 - General description'!$G$51=FALSE, K31= TRUE),"Applicable","N.A")</f>
        <v>Applicable</v>
      </c>
      <c r="H31" s="130"/>
      <c r="I31" s="253"/>
      <c r="J31" s="251"/>
      <c r="K31" s="28" t="b">
        <f>OR(ISNUMBER(FIND('1 - General description'!$H$51,F31)),ISNUMBER(FIND('1 - General description'!$H$52,F31)),ISNUMBER(FIND('1 - General description'!$H$53,F31)),ISNUMBER(FIND('1 - General description'!$H$54,F31)),ISNUMBER(FIND('1 - General description'!$H$55,F31)),ISNUMBER(FIND('1 - General description'!$H$56,F31)),ISNUMBER(FIND('1 - General description'!$H$57,F31)),ISNUMBER(FIND('1 - General description'!$H$58,F31)),ISNUMBER(FIND('1 - General description'!$H$59,F31)),ISNUMBER(FIND('1 - General description'!$H$60,F31)),ISNUMBER(FIND('1 - General description'!$H$61,F31)),ISNUMBER(FIND('1 - General description'!$H$62,F31)),ISNUMBER(FIND('1 - General description'!$H$63,F31)),ISNUMBER(FIND('1 - General description'!$H$64,F31)))</f>
        <v>1</v>
      </c>
    </row>
    <row r="32" spans="1:11" ht="72.5">
      <c r="A32" s="61">
        <v>5</v>
      </c>
      <c r="B32" s="58" t="s">
        <v>337</v>
      </c>
      <c r="C32" s="70" t="s">
        <v>357</v>
      </c>
      <c r="D32" s="71" t="s">
        <v>358</v>
      </c>
      <c r="E32" s="72" t="s">
        <v>359</v>
      </c>
      <c r="F32" s="71" t="s">
        <v>341</v>
      </c>
      <c r="G32" s="74" t="str">
        <f>IF(AND('1 - General description'!$G$51=FALSE, K32= TRUE),"Applicable","N.A")</f>
        <v>Applicable</v>
      </c>
      <c r="H32" s="130"/>
      <c r="I32" s="253"/>
      <c r="J32" s="251"/>
      <c r="K32" s="28" t="b">
        <f>OR(ISNUMBER(FIND('1 - General description'!$H$51,F32)),ISNUMBER(FIND('1 - General description'!$H$52,F32)),ISNUMBER(FIND('1 - General description'!$H$53,F32)),ISNUMBER(FIND('1 - General description'!$H$54,F32)),ISNUMBER(FIND('1 - General description'!$H$55,F32)),ISNUMBER(FIND('1 - General description'!$H$56,F32)),ISNUMBER(FIND('1 - General description'!$H$57,F32)),ISNUMBER(FIND('1 - General description'!$H$58,F32)),ISNUMBER(FIND('1 - General description'!$H$59,F32)),ISNUMBER(FIND('1 - General description'!$H$60,F32)),ISNUMBER(FIND('1 - General description'!$H$61,F32)),ISNUMBER(FIND('1 - General description'!$H$62,F32)),ISNUMBER(FIND('1 - General description'!$H$63,F32)),ISNUMBER(FIND('1 - General description'!$H$64,F32)))</f>
        <v>1</v>
      </c>
    </row>
    <row r="33" spans="1:11" ht="87">
      <c r="A33" s="59">
        <v>6</v>
      </c>
      <c r="B33" s="58" t="s">
        <v>360</v>
      </c>
      <c r="C33" s="70" t="s">
        <v>361</v>
      </c>
      <c r="D33" s="71" t="s">
        <v>362</v>
      </c>
      <c r="E33" s="72" t="s">
        <v>363</v>
      </c>
      <c r="F33" s="71" t="s">
        <v>364</v>
      </c>
      <c r="G33" s="74" t="str">
        <f>IF(K33= TRUE,"Applicable","N.A")</f>
        <v>Applicable</v>
      </c>
      <c r="H33" s="130"/>
      <c r="I33" s="253"/>
      <c r="J33" s="251"/>
      <c r="K33" s="28" t="b">
        <f>OR(ISNUMBER(FIND('1 - General description'!$H$51,F33)),ISNUMBER(FIND('1 - General description'!$H$52,F33)),ISNUMBER(FIND('1 - General description'!$H$53,F33)),ISNUMBER(FIND('1 - General description'!$H$54,F33)),ISNUMBER(FIND('1 - General description'!$H$55,F33)),ISNUMBER(FIND('1 - General description'!$H$56,F33)),ISNUMBER(FIND('1 - General description'!$H$57,F33)),ISNUMBER(FIND('1 - General description'!$H$58,F33)),ISNUMBER(FIND('1 - General description'!$H$59,F33)),ISNUMBER(FIND('1 - General description'!$H$60,F33)),ISNUMBER(FIND('1 - General description'!$H$61,F33)),ISNUMBER(FIND('1 - General description'!$H$62,F33)),ISNUMBER(FIND('1 - General description'!$H$63,F33)),ISNUMBER(FIND('1 - General description'!$H$64,F33)))</f>
        <v>1</v>
      </c>
    </row>
    <row r="34" spans="1:11" ht="178.5" customHeight="1">
      <c r="A34" s="60">
        <v>6</v>
      </c>
      <c r="B34" s="58" t="s">
        <v>360</v>
      </c>
      <c r="C34" s="70" t="s">
        <v>365</v>
      </c>
      <c r="D34" s="71" t="s">
        <v>366</v>
      </c>
      <c r="E34" s="72" t="s">
        <v>367</v>
      </c>
      <c r="F34" s="71" t="s">
        <v>368</v>
      </c>
      <c r="G34" s="74" t="str">
        <f>IF(AND('1 - General description'!$G$51=FALSE, K34= TRUE),"Applicable","N.A")</f>
        <v>Applicable</v>
      </c>
      <c r="H34" s="130"/>
      <c r="I34" s="253"/>
      <c r="J34" s="251"/>
      <c r="K34" s="28" t="b">
        <f>OR(ISNUMBER(FIND('1 - General description'!$H$51,F34)),ISNUMBER(FIND('1 - General description'!$H$52,F34)),ISNUMBER(FIND('1 - General description'!$H$53,F34)),ISNUMBER(FIND('1 - General description'!$H$54,F34)),ISNUMBER(FIND('1 - General description'!$H$55,F34)),ISNUMBER(FIND('1 - General description'!$H$56,F34)),ISNUMBER(FIND('1 - General description'!$H$57,F34)),ISNUMBER(FIND('1 - General description'!$H$58,F34)),ISNUMBER(FIND('1 - General description'!$H$59,F34)),ISNUMBER(FIND('1 - General description'!$H$60,F34)),ISNUMBER(FIND('1 - General description'!$H$61,F34)),ISNUMBER(FIND('1 - General description'!$H$62,F34)),ISNUMBER(FIND('1 - General description'!$H$63,F34)),ISNUMBER(FIND('1 - General description'!$H$64,F34)))</f>
        <v>1</v>
      </c>
    </row>
    <row r="35" spans="1:11" ht="144" customHeight="1">
      <c r="A35" s="60">
        <v>6</v>
      </c>
      <c r="B35" s="58" t="s">
        <v>360</v>
      </c>
      <c r="C35" s="70" t="s">
        <v>369</v>
      </c>
      <c r="D35" s="71" t="s">
        <v>370</v>
      </c>
      <c r="E35" s="72" t="s">
        <v>371</v>
      </c>
      <c r="F35" s="71" t="s">
        <v>368</v>
      </c>
      <c r="G35" s="74" t="str">
        <f>IF(AND('1 - General description'!$G$51=FALSE, K35= TRUE),"Applicable","N.A")</f>
        <v>Applicable</v>
      </c>
      <c r="H35" s="130"/>
      <c r="I35" s="254"/>
      <c r="J35" s="251"/>
      <c r="K35" s="28" t="b">
        <f>OR(ISNUMBER(FIND('1 - General description'!$H$51,F35)),ISNUMBER(FIND('1 - General description'!$H$52,F35)),ISNUMBER(FIND('1 - General description'!$H$53,F35)),ISNUMBER(FIND('1 - General description'!$H$54,F35)),ISNUMBER(FIND('1 - General description'!$H$55,F35)),ISNUMBER(FIND('1 - General description'!$H$56,F35)),ISNUMBER(FIND('1 - General description'!$H$57,F35)),ISNUMBER(FIND('1 - General description'!$H$58,F35)),ISNUMBER(FIND('1 - General description'!$H$59,F35)),ISNUMBER(FIND('1 - General description'!$H$60,F35)),ISNUMBER(FIND('1 - General description'!$H$61,F35)),ISNUMBER(FIND('1 - General description'!$H$62,F35)),ISNUMBER(FIND('1 - General description'!$H$63,F35)),ISNUMBER(FIND('1 - General description'!$H$64,F35)))</f>
        <v>1</v>
      </c>
    </row>
    <row r="36" spans="1:11" ht="116">
      <c r="A36" s="60">
        <v>6</v>
      </c>
      <c r="B36" s="58" t="s">
        <v>360</v>
      </c>
      <c r="C36" s="70" t="s">
        <v>372</v>
      </c>
      <c r="D36" s="71" t="s">
        <v>373</v>
      </c>
      <c r="E36" s="72" t="s">
        <v>374</v>
      </c>
      <c r="F36" s="71" t="s">
        <v>325</v>
      </c>
      <c r="G36" s="74" t="str">
        <f>IF(AND('1 - General description'!$G$51=FALSE, K36= TRUE),"Applicable","N.A")</f>
        <v>Applicable</v>
      </c>
      <c r="H36" s="130"/>
      <c r="I36" s="253"/>
      <c r="J36" s="251"/>
      <c r="K36" s="28" t="b">
        <f>OR(ISNUMBER(FIND('1 - General description'!$H$51,F36)),ISNUMBER(FIND('1 - General description'!$H$52,F36)),ISNUMBER(FIND('1 - General description'!$H$53,F36)),ISNUMBER(FIND('1 - General description'!$H$54,F36)),ISNUMBER(FIND('1 - General description'!$H$55,F36)),ISNUMBER(FIND('1 - General description'!$H$56,F36)),ISNUMBER(FIND('1 - General description'!$H$57,F36)),ISNUMBER(FIND('1 - General description'!$H$58,F36)),ISNUMBER(FIND('1 - General description'!$H$59,F36)),ISNUMBER(FIND('1 - General description'!$H$60,F36)),ISNUMBER(FIND('1 - General description'!$H$61,F36)),ISNUMBER(FIND('1 - General description'!$H$62,F36)),ISNUMBER(FIND('1 - General description'!$H$63,F36)),ISNUMBER(FIND('1 - General description'!$H$64,F36)))</f>
        <v>1</v>
      </c>
    </row>
    <row r="37" spans="1:11" ht="72.5">
      <c r="A37" s="60">
        <v>6</v>
      </c>
      <c r="B37" s="58" t="s">
        <v>360</v>
      </c>
      <c r="C37" s="70" t="s">
        <v>375</v>
      </c>
      <c r="D37" s="71" t="s">
        <v>376</v>
      </c>
      <c r="E37" s="72" t="s">
        <v>377</v>
      </c>
      <c r="F37" s="71" t="s">
        <v>368</v>
      </c>
      <c r="G37" s="74" t="str">
        <f>IF(AND('1 - General description'!$G$51=FALSE, K37= TRUE),"Applicable","N.A")</f>
        <v>Applicable</v>
      </c>
      <c r="H37" s="130"/>
      <c r="I37" s="253"/>
      <c r="J37" s="251"/>
      <c r="K37" s="28" t="b">
        <f>OR(ISNUMBER(FIND('1 - General description'!$H$51,F37)),ISNUMBER(FIND('1 - General description'!$H$52,F37)),ISNUMBER(FIND('1 - General description'!$H$53,F37)),ISNUMBER(FIND('1 - General description'!$H$54,F37)),ISNUMBER(FIND('1 - General description'!$H$55,F37)),ISNUMBER(FIND('1 - General description'!$H$56,F37)),ISNUMBER(FIND('1 - General description'!$H$57,F37)),ISNUMBER(FIND('1 - General description'!$H$58,F37)),ISNUMBER(FIND('1 - General description'!$H$59,F37)),ISNUMBER(FIND('1 - General description'!$H$60,F37)),ISNUMBER(FIND('1 - General description'!$H$61,F37)),ISNUMBER(FIND('1 - General description'!$H$62,F37)),ISNUMBER(FIND('1 - General description'!$H$63,F37)),ISNUMBER(FIND('1 - General description'!$H$64,F37)))</f>
        <v>1</v>
      </c>
    </row>
    <row r="38" spans="1:11" ht="174">
      <c r="A38" s="60">
        <v>6</v>
      </c>
      <c r="B38" s="58" t="s">
        <v>360</v>
      </c>
      <c r="C38" s="70" t="s">
        <v>378</v>
      </c>
      <c r="D38" s="71" t="s">
        <v>379</v>
      </c>
      <c r="E38" s="72" t="s">
        <v>380</v>
      </c>
      <c r="F38" s="71" t="s">
        <v>381</v>
      </c>
      <c r="G38" s="74" t="str">
        <f>IF(K38= TRUE,"Applicable","N.A")</f>
        <v>Applicable</v>
      </c>
      <c r="H38" s="130"/>
      <c r="I38" s="253"/>
      <c r="J38" s="251"/>
      <c r="K38" s="28" t="b">
        <f>OR(ISNUMBER(FIND('1 - General description'!$H$51,F38)),ISNUMBER(FIND('1 - General description'!$H$52,F38)),ISNUMBER(FIND('1 - General description'!$H$53,F38)),ISNUMBER(FIND('1 - General description'!$H$54,F38)),ISNUMBER(FIND('1 - General description'!$H$55,F38)),ISNUMBER(FIND('1 - General description'!$H$56,F38)),ISNUMBER(FIND('1 - General description'!$H$57,F38)),ISNUMBER(FIND('1 - General description'!$H$58,F38)),ISNUMBER(FIND('1 - General description'!$H$59,F38)),ISNUMBER(FIND('1 - General description'!$H$60,F38)),ISNUMBER(FIND('1 - General description'!$H$61,F38)),ISNUMBER(FIND('1 - General description'!$H$62,F38)),ISNUMBER(FIND('1 - General description'!$H$63,F38)),ISNUMBER(FIND('1 - General description'!$H$64,F38)))</f>
        <v>1</v>
      </c>
    </row>
    <row r="39" spans="1:11" ht="130.5">
      <c r="A39" s="60">
        <v>6</v>
      </c>
      <c r="B39" s="58" t="s">
        <v>360</v>
      </c>
      <c r="C39" s="70" t="s">
        <v>382</v>
      </c>
      <c r="D39" s="71" t="s">
        <v>383</v>
      </c>
      <c r="E39" s="72" t="s">
        <v>384</v>
      </c>
      <c r="F39" s="71" t="s">
        <v>364</v>
      </c>
      <c r="G39" s="74" t="str">
        <f>IF(K39= TRUE,"Applicable","N.A")</f>
        <v>Applicable</v>
      </c>
      <c r="H39" s="130"/>
      <c r="I39" s="253"/>
      <c r="J39" s="251"/>
      <c r="K39" s="28" t="b">
        <f>OR(ISNUMBER(FIND('1 - General description'!$H$51,F39)),ISNUMBER(FIND('1 - General description'!$H$52,F39)),ISNUMBER(FIND('1 - General description'!$H$53,F39)),ISNUMBER(FIND('1 - General description'!$H$54,F39)),ISNUMBER(FIND('1 - General description'!$H$55,F39)),ISNUMBER(FIND('1 - General description'!$H$56,F39)),ISNUMBER(FIND('1 - General description'!$H$57,F39)),ISNUMBER(FIND('1 - General description'!$H$58,F39)),ISNUMBER(FIND('1 - General description'!$H$59,F39)),ISNUMBER(FIND('1 - General description'!$H$60,F39)),ISNUMBER(FIND('1 - General description'!$H$61,F39)),ISNUMBER(FIND('1 - General description'!$H$62,F39)),ISNUMBER(FIND('1 - General description'!$H$63,F39)),ISNUMBER(FIND('1 - General description'!$H$64,F39)))</f>
        <v>1</v>
      </c>
    </row>
    <row r="40" spans="1:11" ht="114.75" hidden="1" customHeight="1">
      <c r="A40" s="61">
        <v>6</v>
      </c>
      <c r="B40" s="58" t="s">
        <v>360</v>
      </c>
      <c r="C40" s="70" t="s">
        <v>385</v>
      </c>
      <c r="D40" s="71" t="s">
        <v>386</v>
      </c>
      <c r="E40" s="72" t="s">
        <v>387</v>
      </c>
      <c r="F40" s="71" t="s">
        <v>98</v>
      </c>
      <c r="G40" s="74" t="str">
        <f>IF(AND('1 - General description'!$G$51=FALSE, K40= TRUE),"Applicable","N.A")</f>
        <v>N.A</v>
      </c>
      <c r="H40" s="130"/>
      <c r="I40" s="253"/>
      <c r="J40" s="251"/>
      <c r="K40" s="28" t="b">
        <f>OR(ISNUMBER(FIND('1 - General description'!$H$51,F40)),ISNUMBER(FIND('1 - General description'!$H$52,F40)),ISNUMBER(FIND('1 - General description'!$H$53,F40)),ISNUMBER(FIND('1 - General description'!$H$54,F40)),ISNUMBER(FIND('1 - General description'!$H$55,F40)),ISNUMBER(FIND('1 - General description'!$H$56,F40)),ISNUMBER(FIND('1 - General description'!$H$57,F40)),ISNUMBER(FIND('1 - General description'!$H$58,F40)),ISNUMBER(FIND('1 - General description'!$H$59,F40)),ISNUMBER(FIND('1 - General description'!$H$60,F40)),ISNUMBER(FIND('1 - General description'!$H$61,F40)),ISNUMBER(FIND('1 - General description'!$H$62,F40)),ISNUMBER(FIND('1 - General description'!$H$63,F40)),ISNUMBER(FIND('1 - General description'!$H$64,F40)))</f>
        <v>0</v>
      </c>
    </row>
    <row r="41" spans="1:11" ht="271.5" hidden="1" customHeight="1">
      <c r="A41" s="58">
        <v>6</v>
      </c>
      <c r="B41" s="58" t="s">
        <v>360</v>
      </c>
      <c r="C41" s="70" t="s">
        <v>1583</v>
      </c>
      <c r="D41" s="240" t="s">
        <v>457</v>
      </c>
      <c r="E41" s="72" t="s">
        <v>1567</v>
      </c>
      <c r="F41" s="71" t="s">
        <v>98</v>
      </c>
      <c r="G41" s="74" t="str">
        <f>IF(AND('1 - General description'!$G$51=FALSE, K41= TRUE),"Applicable","N.A")</f>
        <v>N.A</v>
      </c>
      <c r="H41" s="130"/>
      <c r="I41" s="253"/>
      <c r="J41" s="251"/>
      <c r="K41" s="28" t="b">
        <f>AND(OR(ISNUMBER(FIND('1 - General description'!$H$51,F41)),ISNUMBER(FIND('1 - General description'!$H$52,F41)),ISNUMBER(FIND('1 - General description'!$H$53,F41)),ISNUMBER(FIND('1 - General description'!$H$54,F41)),ISNUMBER(FIND('1 - General description'!$H$55,F41)),ISNUMBER(FIND('1 - General description'!$H$56,F41)),ISNUMBER(FIND('1 - General description'!$H$57,F41)),ISNUMBER(FIND('1 - General description'!$H$58,F41)),ISNUMBER(FIND('1 - General description'!$H$59,F41)),ISNUMBER(FIND('1 - General description'!$H$60,F41)),ISNUMBER(FIND('1 - General description'!$H$61,F41)),ISNUMBER(FIND('1 - General description'!$H$62,F41)),ISNUMBER(FIND('1 - General description'!$H$63,F41)),ISNUMBER(FIND('1 - General description'!$H$64,F41))), IF('2 - Qualification'!C12="Yes","Yes","No"))</f>
        <v>0</v>
      </c>
    </row>
    <row r="42" spans="1:11" ht="122.25" customHeight="1">
      <c r="A42" s="59">
        <v>7</v>
      </c>
      <c r="B42" s="58" t="s">
        <v>388</v>
      </c>
      <c r="C42" s="70" t="s">
        <v>389</v>
      </c>
      <c r="D42" s="71" t="s">
        <v>390</v>
      </c>
      <c r="E42" s="72" t="s">
        <v>391</v>
      </c>
      <c r="F42" s="71" t="s">
        <v>325</v>
      </c>
      <c r="G42" s="74" t="str">
        <f>IF(AND('1 - General description'!$G$51=FALSE, K42= TRUE),"Applicable","N.A")</f>
        <v>Applicable</v>
      </c>
      <c r="H42" s="130"/>
      <c r="I42" s="253"/>
      <c r="J42" s="251"/>
      <c r="K42" s="28" t="b">
        <f>OR(ISNUMBER(FIND('1 - General description'!$H$51,F42)),ISNUMBER(FIND('1 - General description'!$H$52,F42)),ISNUMBER(FIND('1 - General description'!$H$53,F42)),ISNUMBER(FIND('1 - General description'!$H$54,F42)),ISNUMBER(FIND('1 - General description'!$H$55,F42)),ISNUMBER(FIND('1 - General description'!$H$56,F42)),ISNUMBER(FIND('1 - General description'!$H$57,F42)),ISNUMBER(FIND('1 - General description'!$H$58,F42)),ISNUMBER(FIND('1 - General description'!$H$59,F42)),ISNUMBER(FIND('1 - General description'!$H$60,F42)),ISNUMBER(FIND('1 - General description'!$H$61,F42)),ISNUMBER(FIND('1 - General description'!$H$62,F42)),ISNUMBER(FIND('1 - General description'!$H$63,F42)),ISNUMBER(FIND('1 - General description'!$H$64,F42)))</f>
        <v>1</v>
      </c>
    </row>
    <row r="43" spans="1:11" ht="114.75" customHeight="1">
      <c r="A43" s="60">
        <v>7</v>
      </c>
      <c r="B43" s="58" t="s">
        <v>388</v>
      </c>
      <c r="C43" s="70" t="s">
        <v>392</v>
      </c>
      <c r="D43" s="71" t="s">
        <v>393</v>
      </c>
      <c r="E43" s="72" t="s">
        <v>394</v>
      </c>
      <c r="F43" s="71" t="s">
        <v>102</v>
      </c>
      <c r="G43" s="74" t="str">
        <f>IF(AND('1 - General description'!$G$51=FALSE, K43= TRUE),"Applicable","N.A")</f>
        <v>Applicable</v>
      </c>
      <c r="H43" s="130"/>
      <c r="I43" s="253"/>
      <c r="J43" s="251"/>
      <c r="K43" s="28" t="b">
        <f>OR(ISNUMBER(FIND('1 - General description'!$H$51,F43)),ISNUMBER(FIND('1 - General description'!$H$52,F43)),ISNUMBER(FIND('1 - General description'!$H$53,F43)),ISNUMBER(FIND('1 - General description'!$H$54,F43)),ISNUMBER(FIND('1 - General description'!$H$55,F43)),ISNUMBER(FIND('1 - General description'!$H$56,F43)),ISNUMBER(FIND('1 - General description'!$H$57,F43)),ISNUMBER(FIND('1 - General description'!$H$58,F43)),ISNUMBER(FIND('1 - General description'!$H$59,F43)),ISNUMBER(FIND('1 - General description'!$H$60,F43)),ISNUMBER(FIND('1 - General description'!$H$61,F43)),ISNUMBER(FIND('1 - General description'!$H$62,F43)),ISNUMBER(FIND('1 - General description'!$H$63,F43)),ISNUMBER(FIND('1 - General description'!$H$64,F43)))</f>
        <v>1</v>
      </c>
    </row>
    <row r="44" spans="1:11" ht="101.5">
      <c r="A44" s="60">
        <v>7</v>
      </c>
      <c r="B44" s="58" t="s">
        <v>388</v>
      </c>
      <c r="C44" s="70" t="s">
        <v>395</v>
      </c>
      <c r="D44" s="71" t="s">
        <v>396</v>
      </c>
      <c r="E44" s="72" t="s">
        <v>397</v>
      </c>
      <c r="F44" s="71" t="s">
        <v>398</v>
      </c>
      <c r="G44" s="74" t="str">
        <f>IF(AND('1 - General description'!$G$51=FALSE, K44= TRUE),"Applicable","N.A")</f>
        <v>Applicable</v>
      </c>
      <c r="H44" s="130"/>
      <c r="I44" s="253"/>
      <c r="J44" s="251"/>
      <c r="K44" s="28" t="b">
        <f>OR(ISNUMBER(FIND('1 - General description'!$H$51,F44)),ISNUMBER(FIND('1 - General description'!$H$52,F44)),ISNUMBER(FIND('1 - General description'!$H$53,F44)),ISNUMBER(FIND('1 - General description'!$H$54,F44)),ISNUMBER(FIND('1 - General description'!$H$55,F44)),ISNUMBER(FIND('1 - General description'!$H$56,F44)),ISNUMBER(FIND('1 - General description'!$H$57,F44)),ISNUMBER(FIND('1 - General description'!$H$58,F44)),ISNUMBER(FIND('1 - General description'!$H$59,F44)),ISNUMBER(FIND('1 - General description'!$H$60,F44)),ISNUMBER(FIND('1 - General description'!$H$61,F44)),ISNUMBER(FIND('1 - General description'!$H$62,F44)),ISNUMBER(FIND('1 - General description'!$H$63,F44)),ISNUMBER(FIND('1 - General description'!$H$64,F44)))</f>
        <v>1</v>
      </c>
    </row>
    <row r="45" spans="1:11" ht="43.5">
      <c r="A45" s="60">
        <v>7</v>
      </c>
      <c r="B45" s="58" t="s">
        <v>388</v>
      </c>
      <c r="C45" s="70" t="s">
        <v>399</v>
      </c>
      <c r="D45" s="71" t="s">
        <v>400</v>
      </c>
      <c r="E45" s="72" t="s">
        <v>401</v>
      </c>
      <c r="F45" s="71" t="s">
        <v>398</v>
      </c>
      <c r="G45" s="74" t="str">
        <f>IF(AND('1 - General description'!$G$51=FALSE, K45= TRUE),"Applicable","N.A")</f>
        <v>Applicable</v>
      </c>
      <c r="H45" s="130"/>
      <c r="I45" s="253"/>
      <c r="J45" s="251"/>
      <c r="K45" s="28" t="b">
        <f>OR(ISNUMBER(FIND('1 - General description'!$H$51,F45)),ISNUMBER(FIND('1 - General description'!$H$52,F45)),ISNUMBER(FIND('1 - General description'!$H$53,F45)),ISNUMBER(FIND('1 - General description'!$H$54,F45)),ISNUMBER(FIND('1 - General description'!$H$55,F45)),ISNUMBER(FIND('1 - General description'!$H$56,F45)),ISNUMBER(FIND('1 - General description'!$H$57,F45)),ISNUMBER(FIND('1 - General description'!$H$58,F45)),ISNUMBER(FIND('1 - General description'!$H$59,F45)),ISNUMBER(FIND('1 - General description'!$H$60,F45)),ISNUMBER(FIND('1 - General description'!$H$61,F45)),ISNUMBER(FIND('1 - General description'!$H$62,F45)),ISNUMBER(FIND('1 - General description'!$H$63,F45)),ISNUMBER(FIND('1 - General description'!$H$64,F45)))</f>
        <v>1</v>
      </c>
    </row>
    <row r="46" spans="1:11" ht="89.9" hidden="1" customHeight="1">
      <c r="A46" s="60">
        <v>7</v>
      </c>
      <c r="B46" s="58" t="s">
        <v>388</v>
      </c>
      <c r="C46" s="70" t="s">
        <v>402</v>
      </c>
      <c r="D46" s="71" t="s">
        <v>403</v>
      </c>
      <c r="E46" s="72" t="s">
        <v>404</v>
      </c>
      <c r="F46" s="71" t="s">
        <v>405</v>
      </c>
      <c r="G46" s="74" t="str">
        <f>IF(AND('1 - General description'!$G$51=FALSE, K46= TRUE),"Applicable","N.A")</f>
        <v>N.A</v>
      </c>
      <c r="H46" s="130"/>
      <c r="I46" s="253"/>
      <c r="J46" s="251"/>
      <c r="K46" s="28" t="b">
        <f>OR(ISNUMBER(FIND('1 - General description'!$H$51,F46)),ISNUMBER(FIND('1 - General description'!$H$52,F46)),ISNUMBER(FIND('1 - General description'!$H$53,F46)),ISNUMBER(FIND('1 - General description'!$H$54,F46)),ISNUMBER(FIND('1 - General description'!$H$55,F46)),ISNUMBER(FIND('1 - General description'!$H$56,F46)),ISNUMBER(FIND('1 - General description'!$H$57,F46)),ISNUMBER(FIND('1 - General description'!$H$58,F46)),ISNUMBER(FIND('1 - General description'!$H$59,F46)),ISNUMBER(FIND('1 - General description'!$H$60,F46)),ISNUMBER(FIND('1 - General description'!$H$61,F46)),ISNUMBER(FIND('1 - General description'!$H$62,F46)),ISNUMBER(FIND('1 - General description'!$H$63,F46)),ISNUMBER(FIND('1 - General description'!$H$64,F46)))</f>
        <v>0</v>
      </c>
    </row>
    <row r="47" spans="1:11" ht="130.5" hidden="1">
      <c r="A47" s="60">
        <v>7</v>
      </c>
      <c r="B47" s="58" t="s">
        <v>388</v>
      </c>
      <c r="C47" s="70" t="s">
        <v>406</v>
      </c>
      <c r="D47" s="71" t="s">
        <v>407</v>
      </c>
      <c r="E47" s="72" t="s">
        <v>408</v>
      </c>
      <c r="F47" s="71" t="s">
        <v>100</v>
      </c>
      <c r="G47" s="74" t="str">
        <f>IF(AND('1 - General description'!$G$51=FALSE, K47= TRUE),"Applicable","N.A")</f>
        <v>N.A</v>
      </c>
      <c r="H47" s="130"/>
      <c r="I47" s="253"/>
      <c r="J47" s="251"/>
      <c r="K47" s="28" t="b">
        <f>OR(ISNUMBER(FIND('1 - General description'!$H$51,F47)),ISNUMBER(FIND('1 - General description'!$H$52,F47)),ISNUMBER(FIND('1 - General description'!$H$53,F47)),ISNUMBER(FIND('1 - General description'!$H$54,F47)),ISNUMBER(FIND('1 - General description'!$H$55,F47)),ISNUMBER(FIND('1 - General description'!$H$56,F47)),ISNUMBER(FIND('1 - General description'!$H$57,F47)),ISNUMBER(FIND('1 - General description'!$H$58,F47)),ISNUMBER(FIND('1 - General description'!$H$59,F47)),ISNUMBER(FIND('1 - General description'!$H$60,F47)),ISNUMBER(FIND('1 - General description'!$H$61,F47)),ISNUMBER(FIND('1 - General description'!$H$62,F47)),ISNUMBER(FIND('1 - General description'!$H$63,F47)),ISNUMBER(FIND('1 - General description'!$H$64,F47)))</f>
        <v>0</v>
      </c>
    </row>
    <row r="48" spans="1:11" ht="203">
      <c r="A48" s="61">
        <v>7</v>
      </c>
      <c r="B48" s="58" t="s">
        <v>388</v>
      </c>
      <c r="C48" s="70" t="s">
        <v>409</v>
      </c>
      <c r="D48" s="71" t="s">
        <v>410</v>
      </c>
      <c r="E48" s="72" t="s">
        <v>411</v>
      </c>
      <c r="F48" s="71" t="s">
        <v>412</v>
      </c>
      <c r="G48" s="74" t="str">
        <f>IF(AND('1 - General description'!$G$51=FALSE, K48= TRUE),"Applicable","N.A")</f>
        <v>Applicable</v>
      </c>
      <c r="H48" s="130"/>
      <c r="I48" s="253"/>
      <c r="J48" s="251"/>
      <c r="K48" s="28" t="b">
        <f>OR(ISNUMBER(FIND('1 - General description'!$H$51,F48)),ISNUMBER(FIND('1 - General description'!$H$52,F48)),ISNUMBER(FIND('1 - General description'!$H$53,F48)),ISNUMBER(FIND('1 - General description'!$H$54,F48)),ISNUMBER(FIND('1 - General description'!$H$55,F48)),ISNUMBER(FIND('1 - General description'!$H$56,F48)),ISNUMBER(FIND('1 - General description'!$H$57,F48)),ISNUMBER(FIND('1 - General description'!$H$58,F48)),ISNUMBER(FIND('1 - General description'!$H$59,F48)),ISNUMBER(FIND('1 - General description'!$H$60,F48)),ISNUMBER(FIND('1 - General description'!$H$61,F48)),ISNUMBER(FIND('1 - General description'!$H$62,F48)),ISNUMBER(FIND('1 - General description'!$H$63,F48)),ISNUMBER(FIND('1 - General description'!$H$64,F48)))</f>
        <v>1</v>
      </c>
    </row>
    <row r="49" spans="1:11" ht="209.15" customHeight="1">
      <c r="A49" s="61">
        <v>7</v>
      </c>
      <c r="B49" s="58" t="s">
        <v>388</v>
      </c>
      <c r="C49" s="70" t="s">
        <v>1581</v>
      </c>
      <c r="D49" s="240" t="s">
        <v>454</v>
      </c>
      <c r="E49" s="72" t="s">
        <v>1580</v>
      </c>
      <c r="F49" s="71" t="s">
        <v>455</v>
      </c>
      <c r="G49" s="74" t="str">
        <f>IF(AND('1 - General description'!$G$51=FALSE, K49= TRUE),"Applicable","N.A")</f>
        <v>Applicable</v>
      </c>
      <c r="H49" s="130"/>
      <c r="I49" s="253"/>
      <c r="J49" s="251"/>
      <c r="K49" s="28" t="b">
        <f>OR(ISNUMBER(FIND('1 - General description'!$H$51,F49)),ISNUMBER(FIND('1 - General description'!$H$52,F49)),ISNUMBER(FIND('1 - General description'!$H$53,F49)),ISNUMBER(FIND('1 - General description'!$H$54,F49)),ISNUMBER(FIND('1 - General description'!$H$55,F49)),ISNUMBER(FIND('1 - General description'!$H$56,F49)),ISNUMBER(FIND('1 - General description'!$H$57,F49)),ISNUMBER(FIND('1 - General description'!$H$58,F49)),ISNUMBER(FIND('1 - General description'!$H$59,F49)),ISNUMBER(FIND('1 - General description'!$H$60,F49)),ISNUMBER(FIND('1 - General description'!$H$61,F49)),ISNUMBER(FIND('1 - General description'!$H$62,F49)),ISNUMBER(FIND('1 - General description'!$H$63,F49)),ISNUMBER(FIND('1 - General description'!$H$64,F49)))</f>
        <v>1</v>
      </c>
    </row>
    <row r="50" spans="1:11" ht="228.75" customHeight="1">
      <c r="A50" s="61">
        <v>7</v>
      </c>
      <c r="B50" s="58" t="s">
        <v>388</v>
      </c>
      <c r="C50" s="70" t="s">
        <v>1582</v>
      </c>
      <c r="D50" s="240" t="s">
        <v>456</v>
      </c>
      <c r="E50" s="72" t="s">
        <v>1575</v>
      </c>
      <c r="F50" s="71" t="s">
        <v>455</v>
      </c>
      <c r="G50" s="74" t="str">
        <f>IF(AND('1 - General description'!$G$51=FALSE, K50= TRUE),"Applicable","N.A")</f>
        <v>Applicable</v>
      </c>
      <c r="H50" s="130"/>
      <c r="I50" s="253"/>
      <c r="J50" s="251"/>
      <c r="K50" s="28" t="b">
        <f>OR(ISNUMBER(FIND('1 - General description'!$H$51,F50)),ISNUMBER(FIND('1 - General description'!$H$52,F50)),ISNUMBER(FIND('1 - General description'!$H$53,F50)),ISNUMBER(FIND('1 - General description'!$H$54,F50)),ISNUMBER(FIND('1 - General description'!$H$55,F50)),ISNUMBER(FIND('1 - General description'!$H$56,F50)),ISNUMBER(FIND('1 - General description'!$H$57,F50)),ISNUMBER(FIND('1 - General description'!$H$58,F50)),ISNUMBER(FIND('1 - General description'!$H$59,F50)),ISNUMBER(FIND('1 - General description'!$H$60,F50)),ISNUMBER(FIND('1 - General description'!$H$61,F50)),ISNUMBER(FIND('1 - General description'!$H$62,F50)),ISNUMBER(FIND('1 - General description'!$H$63,F50)),ISNUMBER(FIND('1 - General description'!$H$64,F50)))</f>
        <v>1</v>
      </c>
    </row>
    <row r="51" spans="1:11" ht="87">
      <c r="A51" s="59">
        <v>8</v>
      </c>
      <c r="B51" s="58" t="s">
        <v>413</v>
      </c>
      <c r="C51" s="70" t="s">
        <v>414</v>
      </c>
      <c r="D51" s="71" t="s">
        <v>415</v>
      </c>
      <c r="E51" s="72" t="s">
        <v>416</v>
      </c>
      <c r="F51" s="71" t="s">
        <v>368</v>
      </c>
      <c r="G51" s="74" t="str">
        <f>IF(AND('1 - General description'!$G$51=FALSE, K51= TRUE),"Applicable","N.A")</f>
        <v>Applicable</v>
      </c>
      <c r="H51" s="130"/>
      <c r="I51" s="253"/>
      <c r="J51" s="251"/>
      <c r="K51" s="28" t="b">
        <f>OR(ISNUMBER(FIND('1 - General description'!$H$51,F51)),ISNUMBER(FIND('1 - General description'!$H$52,F51)),ISNUMBER(FIND('1 - General description'!$H$53,F51)),ISNUMBER(FIND('1 - General description'!$H$54,F51)),ISNUMBER(FIND('1 - General description'!$H$55,F51)),ISNUMBER(FIND('1 - General description'!$H$56,F51)),ISNUMBER(FIND('1 - General description'!$H$57,F51)),ISNUMBER(FIND('1 - General description'!$H$58,F51)),ISNUMBER(FIND('1 - General description'!$H$59,F51)),ISNUMBER(FIND('1 - General description'!$H$60,F51)),ISNUMBER(FIND('1 - General description'!$H$61,F51)),ISNUMBER(FIND('1 - General description'!$H$62,F51)),ISNUMBER(FIND('1 - General description'!$H$63,F51)),ISNUMBER(FIND('1 - General description'!$H$64,F51)))</f>
        <v>1</v>
      </c>
    </row>
    <row r="52" spans="1:11" ht="188.5">
      <c r="A52" s="60">
        <v>8</v>
      </c>
      <c r="B52" s="58" t="s">
        <v>413</v>
      </c>
      <c r="C52" s="70" t="s">
        <v>417</v>
      </c>
      <c r="D52" s="71" t="s">
        <v>418</v>
      </c>
      <c r="E52" s="72" t="s">
        <v>419</v>
      </c>
      <c r="F52" s="71" t="s">
        <v>420</v>
      </c>
      <c r="G52" s="74" t="str">
        <f>IF(AND('1 - General description'!$G$51=FALSE, K52= TRUE),"Applicable","N.A")</f>
        <v>Applicable</v>
      </c>
      <c r="H52" s="130"/>
      <c r="I52" s="253"/>
      <c r="J52" s="251"/>
      <c r="K52" s="28" t="b">
        <f>OR(ISNUMBER(FIND('1 - General description'!$H$51,F52)),ISNUMBER(FIND('1 - General description'!$H$52,F52)),ISNUMBER(FIND('1 - General description'!$H$53,F52)),ISNUMBER(FIND('1 - General description'!$H$54,F52)),ISNUMBER(FIND('1 - General description'!$H$55,F52)),ISNUMBER(FIND('1 - General description'!$H$56,F52)),ISNUMBER(FIND('1 - General description'!$H$57,F52)),ISNUMBER(FIND('1 - General description'!$H$58,F52)),ISNUMBER(FIND('1 - General description'!$H$59,F52)),ISNUMBER(FIND('1 - General description'!$H$60,F52)),ISNUMBER(FIND('1 - General description'!$H$61,F52)),ISNUMBER(FIND('1 - General description'!$H$62,F52)),ISNUMBER(FIND('1 - General description'!$H$63,F52)),ISNUMBER(FIND('1 - General description'!$H$64,F52)))</f>
        <v>1</v>
      </c>
    </row>
    <row r="53" spans="1:11" ht="101.5">
      <c r="A53" s="60">
        <v>8</v>
      </c>
      <c r="B53" s="58" t="s">
        <v>413</v>
      </c>
      <c r="C53" s="70" t="s">
        <v>421</v>
      </c>
      <c r="D53" s="71" t="s">
        <v>422</v>
      </c>
      <c r="E53" s="72" t="s">
        <v>423</v>
      </c>
      <c r="F53" s="71" t="s">
        <v>420</v>
      </c>
      <c r="G53" s="74" t="str">
        <f>IF(AND('1 - General description'!$G$51=FALSE, K53= TRUE),"Applicable","N.A")</f>
        <v>Applicable</v>
      </c>
      <c r="H53" s="130"/>
      <c r="I53" s="253"/>
      <c r="J53" s="251"/>
      <c r="K53" s="28" t="b">
        <f>OR(ISNUMBER(FIND('1 - General description'!$H$51,F53)),ISNUMBER(FIND('1 - General description'!$H$52,F53)),ISNUMBER(FIND('1 - General description'!$H$53,F53)),ISNUMBER(FIND('1 - General description'!$H$54,F53)),ISNUMBER(FIND('1 - General description'!$H$55,F53)),ISNUMBER(FIND('1 - General description'!$H$56,F53)),ISNUMBER(FIND('1 - General description'!$H$57,F53)),ISNUMBER(FIND('1 - General description'!$H$58,F53)),ISNUMBER(FIND('1 - General description'!$H$59,F53)),ISNUMBER(FIND('1 - General description'!$H$60,F53)),ISNUMBER(FIND('1 - General description'!$H$61,F53)),ISNUMBER(FIND('1 - General description'!$H$62,F53)),ISNUMBER(FIND('1 - General description'!$H$63,F53)),ISNUMBER(FIND('1 - General description'!$H$64,F53)))</f>
        <v>1</v>
      </c>
    </row>
    <row r="54" spans="1:11" ht="159.5">
      <c r="A54" s="60">
        <v>8</v>
      </c>
      <c r="B54" s="58" t="s">
        <v>413</v>
      </c>
      <c r="C54" s="70" t="s">
        <v>424</v>
      </c>
      <c r="D54" s="71" t="s">
        <v>425</v>
      </c>
      <c r="E54" s="72" t="s">
        <v>426</v>
      </c>
      <c r="F54" s="71" t="s">
        <v>420</v>
      </c>
      <c r="G54" s="74" t="str">
        <f>IF(AND('1 - General description'!$G$51=FALSE, K54= TRUE),"Applicable","N.A")</f>
        <v>Applicable</v>
      </c>
      <c r="H54" s="130"/>
      <c r="I54" s="253"/>
      <c r="J54" s="251"/>
      <c r="K54" s="28" t="b">
        <f>OR(ISNUMBER(FIND('1 - General description'!$H$51,F54)),ISNUMBER(FIND('1 - General description'!$H$52,F54)),ISNUMBER(FIND('1 - General description'!$H$53,F54)),ISNUMBER(FIND('1 - General description'!$H$54,F54)),ISNUMBER(FIND('1 - General description'!$H$55,F54)),ISNUMBER(FIND('1 - General description'!$H$56,F54)),ISNUMBER(FIND('1 - General description'!$H$57,F54)),ISNUMBER(FIND('1 - General description'!$H$58,F54)),ISNUMBER(FIND('1 - General description'!$H$59,F54)),ISNUMBER(FIND('1 - General description'!$H$60,F54)),ISNUMBER(FIND('1 - General description'!$H$61,F54)),ISNUMBER(FIND('1 - General description'!$H$62,F54)),ISNUMBER(FIND('1 - General description'!$H$63,F54)),ISNUMBER(FIND('1 - General description'!$H$64,F54)))</f>
        <v>1</v>
      </c>
    </row>
    <row r="55" spans="1:11" ht="116">
      <c r="A55" s="61">
        <v>8</v>
      </c>
      <c r="B55" s="58" t="s">
        <v>413</v>
      </c>
      <c r="C55" s="70" t="s">
        <v>427</v>
      </c>
      <c r="D55" s="71" t="s">
        <v>428</v>
      </c>
      <c r="E55" s="72" t="s">
        <v>429</v>
      </c>
      <c r="F55" s="71" t="s">
        <v>420</v>
      </c>
      <c r="G55" s="74" t="str">
        <f>IF(AND('1 - General description'!$G$51=FALSE, K55= TRUE),"Applicable","N.A")</f>
        <v>Applicable</v>
      </c>
      <c r="H55" s="130"/>
      <c r="I55" s="253"/>
      <c r="J55" s="251"/>
      <c r="K55" s="28" t="b">
        <f>OR(ISNUMBER(FIND('1 - General description'!$H$51,F55)),ISNUMBER(FIND('1 - General description'!$H$52,F55)),ISNUMBER(FIND('1 - General description'!$H$53,F55)),ISNUMBER(FIND('1 - General description'!$H$54,F55)),ISNUMBER(FIND('1 - General description'!$H$55,F55)),ISNUMBER(FIND('1 - General description'!$H$56,F55)),ISNUMBER(FIND('1 - General description'!$H$57,F55)),ISNUMBER(FIND('1 - General description'!$H$58,F55)),ISNUMBER(FIND('1 - General description'!$H$59,F55)),ISNUMBER(FIND('1 - General description'!$H$60,F55)),ISNUMBER(FIND('1 - General description'!$H$61,F55)),ISNUMBER(FIND('1 - General description'!$H$62,F55)),ISNUMBER(FIND('1 - General description'!$H$63,F55)),ISNUMBER(FIND('1 - General description'!$H$64,F55)))</f>
        <v>1</v>
      </c>
    </row>
    <row r="56" spans="1:11" ht="130.5">
      <c r="A56" s="65">
        <v>9</v>
      </c>
      <c r="B56" s="58" t="s">
        <v>430</v>
      </c>
      <c r="C56" s="70" t="s">
        <v>431</v>
      </c>
      <c r="D56" s="71" t="s">
        <v>432</v>
      </c>
      <c r="E56" s="72" t="s">
        <v>433</v>
      </c>
      <c r="F56" s="71" t="s">
        <v>341</v>
      </c>
      <c r="G56" s="74" t="str">
        <f>IF(AND('1 - General description'!$G$51=FALSE, K56= TRUE),"Applicable","N.A")</f>
        <v>Applicable</v>
      </c>
      <c r="H56" s="130"/>
      <c r="I56" s="253"/>
      <c r="J56" s="251"/>
      <c r="K56" s="28" t="b">
        <f>OR(ISNUMBER(FIND('1 - General description'!$H$51,F56)),ISNUMBER(FIND('1 - General description'!$H$52,F56)),ISNUMBER(FIND('1 - General description'!$H$53,F56)),ISNUMBER(FIND('1 - General description'!$H$54,F56)),ISNUMBER(FIND('1 - General description'!$H$55,F56)),ISNUMBER(FIND('1 - General description'!$H$56,F56)),ISNUMBER(FIND('1 - General description'!$H$57,F56)),ISNUMBER(FIND('1 - General description'!$H$58,F56)),ISNUMBER(FIND('1 - General description'!$H$59,F56)),ISNUMBER(FIND('1 - General description'!$H$60,F56)),ISNUMBER(FIND('1 - General description'!$H$61,F56)),ISNUMBER(FIND('1 - General description'!$H$62,F56)),ISNUMBER(FIND('1 - General description'!$H$63,F56)),ISNUMBER(FIND('1 - General description'!$H$64,F56)))</f>
        <v>1</v>
      </c>
    </row>
    <row r="57" spans="1:11" ht="217.5" hidden="1">
      <c r="A57" s="59">
        <v>10</v>
      </c>
      <c r="B57" s="58" t="s">
        <v>434</v>
      </c>
      <c r="C57" s="70" t="s">
        <v>435</v>
      </c>
      <c r="D57" s="71" t="s">
        <v>436</v>
      </c>
      <c r="E57" s="72" t="s">
        <v>437</v>
      </c>
      <c r="F57" s="71" t="s">
        <v>81</v>
      </c>
      <c r="G57" s="74" t="str">
        <f>IF(K57= TRUE,"Applicable","N.A")</f>
        <v>N.A</v>
      </c>
      <c r="H57" s="130"/>
      <c r="I57" s="253"/>
      <c r="J57" s="251"/>
      <c r="K57" s="28" t="b">
        <f>OR(ISNUMBER(FIND('1 - General description'!$H$51,F57)),ISNUMBER(FIND('1 - General description'!$H$52,F57)),ISNUMBER(FIND('1 - General description'!$H$53,F57)),ISNUMBER(FIND('1 - General description'!$H$54,F57)),ISNUMBER(FIND('1 - General description'!$H$55,F57)),ISNUMBER(FIND('1 - General description'!$H$56,F57)),ISNUMBER(FIND('1 - General description'!$H$57,F57)),ISNUMBER(FIND('1 - General description'!$H$58,F57)),ISNUMBER(FIND('1 - General description'!$H$59,F57)),ISNUMBER(FIND('1 - General description'!$H$60,F57)),ISNUMBER(FIND('1 - General description'!$H$61,F57)),ISNUMBER(FIND('1 - General description'!$H$62,F57)),ISNUMBER(FIND('1 - General description'!$H$63,F57)),ISNUMBER(FIND('1 - General description'!$H$64,F57)))</f>
        <v>0</v>
      </c>
    </row>
    <row r="58" spans="1:11" ht="101.5">
      <c r="A58" s="62">
        <v>11</v>
      </c>
      <c r="B58" s="58" t="s">
        <v>438</v>
      </c>
      <c r="C58" s="70" t="s">
        <v>439</v>
      </c>
      <c r="D58" s="71" t="s">
        <v>440</v>
      </c>
      <c r="E58" s="72" t="s">
        <v>441</v>
      </c>
      <c r="F58" s="71" t="s">
        <v>332</v>
      </c>
      <c r="G58" s="74" t="str">
        <f>IF(K58= TRUE,"Applicable","N.A")</f>
        <v>Applicable</v>
      </c>
      <c r="H58" s="130"/>
      <c r="I58" s="253"/>
      <c r="J58" s="251"/>
      <c r="K58" s="28" t="b">
        <f>OR(ISNUMBER(FIND('1 - General description'!$H$51,F58)),ISNUMBER(FIND('1 - General description'!$H$52,F58)),ISNUMBER(FIND('1 - General description'!$H$53,F58)),ISNUMBER(FIND('1 - General description'!$H$54,F58)),ISNUMBER(FIND('1 - General description'!$H$55,F58)),ISNUMBER(FIND('1 - General description'!$H$56,F58)),ISNUMBER(FIND('1 - General description'!$H$57,F58)),ISNUMBER(FIND('1 - General description'!$H$58,F58)),ISNUMBER(FIND('1 - General description'!$H$59,F58)),ISNUMBER(FIND('1 - General description'!$H$60,F58)),ISNUMBER(FIND('1 - General description'!$H$61,F58)),ISNUMBER(FIND('1 - General description'!$H$62,F58)),ISNUMBER(FIND('1 - General description'!$H$63,F58)),ISNUMBER(FIND('1 - General description'!$H$64,F58)))</f>
        <v>1</v>
      </c>
    </row>
    <row r="59" spans="1:11" ht="72.5">
      <c r="A59" s="63">
        <v>11</v>
      </c>
      <c r="B59" s="58" t="s">
        <v>438</v>
      </c>
      <c r="C59" s="70" t="s">
        <v>442</v>
      </c>
      <c r="D59" s="71" t="s">
        <v>443</v>
      </c>
      <c r="E59" s="72" t="s">
        <v>444</v>
      </c>
      <c r="F59" s="71" t="s">
        <v>332</v>
      </c>
      <c r="G59" s="74" t="str">
        <f>IF(AND('1 - General description'!$G$51=FALSE, K59= TRUE),"Applicable","N.A")</f>
        <v>Applicable</v>
      </c>
      <c r="H59" s="130"/>
      <c r="I59" s="253"/>
      <c r="J59" s="251"/>
      <c r="K59" s="28" t="b">
        <f>OR(ISNUMBER(FIND('1 - General description'!$H$51,F59)),ISNUMBER(FIND('1 - General description'!$H$52,F59)),ISNUMBER(FIND('1 - General description'!$H$53,F59)),ISNUMBER(FIND('1 - General description'!$H$54,F59)),ISNUMBER(FIND('1 - General description'!$H$55,F59)),ISNUMBER(FIND('1 - General description'!$H$56,F59)),ISNUMBER(FIND('1 - General description'!$H$57,F59)),ISNUMBER(FIND('1 - General description'!$H$58,F59)),ISNUMBER(FIND('1 - General description'!$H$59,F59)),ISNUMBER(FIND('1 - General description'!$H$60,F59)),ISNUMBER(FIND('1 - General description'!$H$61,F59)),ISNUMBER(FIND('1 - General description'!$H$62,F59)),ISNUMBER(FIND('1 - General description'!$H$63,F59)),ISNUMBER(FIND('1 - General description'!$H$64,F59)))</f>
        <v>1</v>
      </c>
    </row>
    <row r="60" spans="1:11" ht="101.5">
      <c r="A60" s="63">
        <v>11</v>
      </c>
      <c r="B60" s="58" t="s">
        <v>438</v>
      </c>
      <c r="C60" s="70" t="s">
        <v>445</v>
      </c>
      <c r="D60" s="71" t="s">
        <v>446</v>
      </c>
      <c r="E60" s="72" t="s">
        <v>447</v>
      </c>
      <c r="F60" s="71" t="s">
        <v>332</v>
      </c>
      <c r="G60" s="74" t="str">
        <f>IF(K60= TRUE,"Applicable","N.A")</f>
        <v>Applicable</v>
      </c>
      <c r="H60" s="130"/>
      <c r="I60" s="253"/>
      <c r="J60" s="251"/>
      <c r="K60" s="28" t="b">
        <f>OR(ISNUMBER(FIND('1 - General description'!$H$51,F60)),ISNUMBER(FIND('1 - General description'!$H$52,F60)),ISNUMBER(FIND('1 - General description'!$H$53,F60)),ISNUMBER(FIND('1 - General description'!$H$54,F60)),ISNUMBER(FIND('1 - General description'!$H$55,F60)),ISNUMBER(FIND('1 - General description'!$H$56,F60)),ISNUMBER(FIND('1 - General description'!$H$57,F60)),ISNUMBER(FIND('1 - General description'!$H$58,F60)),ISNUMBER(FIND('1 - General description'!$H$59,F60)),ISNUMBER(FIND('1 - General description'!$H$60,F60)),ISNUMBER(FIND('1 - General description'!$H$61,F60)),ISNUMBER(FIND('1 - General description'!$H$62,F60)),ISNUMBER(FIND('1 - General description'!$H$63,F60)),ISNUMBER(FIND('1 - General description'!$H$64,F60)))</f>
        <v>1</v>
      </c>
    </row>
    <row r="61" spans="1:11" ht="150.75" customHeight="1">
      <c r="A61" s="64">
        <v>11</v>
      </c>
      <c r="B61" s="58" t="s">
        <v>438</v>
      </c>
      <c r="C61" s="70" t="s">
        <v>448</v>
      </c>
      <c r="D61" s="71" t="s">
        <v>449</v>
      </c>
      <c r="E61" s="247" t="s">
        <v>1579</v>
      </c>
      <c r="F61" s="71" t="s">
        <v>332</v>
      </c>
      <c r="G61" s="74" t="str">
        <f>IF(AND('1 - General description'!$G$51=FALSE, K61= TRUE),"Applicable","N.A")</f>
        <v>Applicable</v>
      </c>
      <c r="H61" s="130"/>
      <c r="I61" s="253"/>
      <c r="J61" s="251"/>
      <c r="K61" s="28" t="b">
        <f>OR(ISNUMBER(FIND('1 - General description'!$H$51,F61)),ISNUMBER(FIND('1 - General description'!$H$52,F61)),ISNUMBER(FIND('1 - General description'!$H$53,F61)),ISNUMBER(FIND('1 - General description'!$H$54,F61)),ISNUMBER(FIND('1 - General description'!$H$55,F61)),ISNUMBER(FIND('1 - General description'!$H$56,F61)),ISNUMBER(FIND('1 - General description'!$H$57,F61)),ISNUMBER(FIND('1 - General description'!$H$58,F61)),ISNUMBER(FIND('1 - General description'!$H$59,F61)),ISNUMBER(FIND('1 - General description'!$H$60,F61)),ISNUMBER(FIND('1 - General description'!$H$61,F61)),ISNUMBER(FIND('1 - General description'!$H$62,F61)),ISNUMBER(FIND('1 - General description'!$H$63,F61)),ISNUMBER(FIND('1 - General description'!$H$64,F61)))</f>
        <v>1</v>
      </c>
    </row>
    <row r="62" spans="1:11" ht="145.5" customHeight="1">
      <c r="A62" s="65">
        <v>12</v>
      </c>
      <c r="B62" s="58" t="s">
        <v>450</v>
      </c>
      <c r="C62" s="70" t="s">
        <v>451</v>
      </c>
      <c r="D62" s="71" t="s">
        <v>452</v>
      </c>
      <c r="E62" s="72" t="s">
        <v>453</v>
      </c>
      <c r="F62" s="71" t="s">
        <v>299</v>
      </c>
      <c r="G62" s="74" t="str">
        <f>IF(AND('1 - General description'!$G$51=FALSE, K62= TRUE),"Applicable","N.A")</f>
        <v>Applicable</v>
      </c>
      <c r="H62" s="130"/>
      <c r="I62" s="253"/>
      <c r="J62" s="251"/>
      <c r="K62" s="28" t="b">
        <f>OR(ISNUMBER(FIND('1 - General description'!$H$51,F62)),ISNUMBER(FIND('1 - General description'!$H$52,F62)),ISNUMBER(FIND('1 - General description'!$H$53,F62)),ISNUMBER(FIND('1 - General description'!$H$54,F62)),ISNUMBER(FIND('1 - General description'!$H$55,F62)),ISNUMBER(FIND('1 - General description'!$H$56,F62)),ISNUMBER(FIND('1 - General description'!$H$57,F62)),ISNUMBER(FIND('1 - General description'!$H$58,F62)),ISNUMBER(FIND('1 - General description'!$H$59,F62)),ISNUMBER(FIND('1 - General description'!$H$60,F62)),ISNUMBER(FIND('1 - General description'!$H$61,F62)),ISNUMBER(FIND('1 - General description'!$H$62,F62)),ISNUMBER(FIND('1 - General description'!$H$63,F62)),ISNUMBER(FIND('1 - General description'!$H$64,F62)))</f>
        <v>1</v>
      </c>
    </row>
    <row r="63" spans="1:11" hidden="1"/>
    <row r="64" spans="1:11"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pans="1:12" s="1" customFormat="1"/>
    <row r="258" spans="1:12">
      <c r="A258" s="1"/>
      <c r="K258" s="1"/>
      <c r="L258" s="1"/>
    </row>
    <row r="259" spans="1:12">
      <c r="A259" s="1"/>
      <c r="K259" s="1"/>
      <c r="L259" s="1"/>
    </row>
    <row r="260" spans="1:12">
      <c r="A260" s="1"/>
      <c r="K260" s="1"/>
      <c r="L260" s="1"/>
    </row>
    <row r="261" spans="1:12">
      <c r="A261" s="1"/>
      <c r="K261" s="1"/>
      <c r="L261" s="1"/>
    </row>
    <row r="262" spans="1:12">
      <c r="A262" s="1"/>
      <c r="K262" s="1"/>
      <c r="L262" s="1"/>
    </row>
    <row r="263" spans="1:12">
      <c r="A263" s="1"/>
      <c r="K263" s="1"/>
      <c r="L263" s="1"/>
    </row>
    <row r="264" spans="1:12">
      <c r="A264" s="1"/>
      <c r="K264" s="1"/>
      <c r="L264" s="1"/>
    </row>
    <row r="265" spans="1:12">
      <c r="A265" s="1"/>
      <c r="K265" s="1"/>
      <c r="L265" s="1"/>
    </row>
    <row r="266" spans="1:12">
      <c r="A266" s="1"/>
      <c r="K266" s="1"/>
      <c r="L266" s="1"/>
    </row>
    <row r="267" spans="1:12">
      <c r="A267" s="1"/>
      <c r="K267" s="1"/>
      <c r="L267" s="1"/>
    </row>
    <row r="268" spans="1:12">
      <c r="A268" s="1"/>
      <c r="K268" s="1"/>
      <c r="L268" s="1"/>
    </row>
    <row r="269" spans="1:12">
      <c r="A269" s="1"/>
      <c r="K269" s="1"/>
      <c r="L269" s="1"/>
    </row>
    <row r="270" spans="1:12">
      <c r="A270" s="1"/>
      <c r="K270" s="1"/>
      <c r="L270" s="1"/>
    </row>
    <row r="271" spans="1:12">
      <c r="A271" s="1"/>
      <c r="K271" s="1"/>
      <c r="L271" s="1"/>
    </row>
    <row r="272" spans="1:12">
      <c r="A272" s="1"/>
      <c r="K272" s="1"/>
      <c r="L272" s="1"/>
    </row>
    <row r="273" spans="1:12">
      <c r="A273" s="1"/>
      <c r="K273" s="1"/>
      <c r="L273" s="1"/>
    </row>
    <row r="274" spans="1:12">
      <c r="A274" s="1"/>
      <c r="K274" s="1"/>
      <c r="L274" s="1"/>
    </row>
    <row r="275" spans="1:12">
      <c r="A275" s="1"/>
      <c r="K275" s="1"/>
      <c r="L275" s="1"/>
    </row>
    <row r="276" spans="1:12">
      <c r="A276" s="1"/>
      <c r="K276" s="1"/>
      <c r="L276" s="1"/>
    </row>
    <row r="277" spans="1:12">
      <c r="A277" s="1"/>
      <c r="K277" s="1"/>
      <c r="L277" s="1"/>
    </row>
    <row r="278" spans="1:12">
      <c r="A278" s="1"/>
      <c r="K278" s="1"/>
      <c r="L278" s="1"/>
    </row>
    <row r="279" spans="1:12">
      <c r="A279" s="1"/>
      <c r="K279" s="1"/>
      <c r="L279" s="1"/>
    </row>
    <row r="280" spans="1:12">
      <c r="A280" s="1"/>
      <c r="K280" s="1"/>
      <c r="L280" s="1"/>
    </row>
    <row r="281" spans="1:12">
      <c r="A281" s="1"/>
      <c r="K281" s="1"/>
      <c r="L281" s="1"/>
    </row>
    <row r="282" spans="1:12">
      <c r="A282" s="1"/>
      <c r="K282" s="1"/>
      <c r="L282" s="1"/>
    </row>
    <row r="283" spans="1:12">
      <c r="A283" s="1"/>
      <c r="K283" s="1"/>
      <c r="L283" s="1"/>
    </row>
    <row r="284" spans="1:12">
      <c r="A284" s="1"/>
      <c r="K284" s="1"/>
      <c r="L284" s="1"/>
    </row>
    <row r="285" spans="1:12">
      <c r="A285" s="1"/>
      <c r="K285" s="1"/>
      <c r="L285" s="1"/>
    </row>
    <row r="286" spans="1:12">
      <c r="A286" s="1"/>
      <c r="K286" s="1"/>
      <c r="L286" s="1"/>
    </row>
    <row r="287" spans="1:12">
      <c r="A287" s="1"/>
      <c r="K287" s="1"/>
      <c r="L287" s="1"/>
    </row>
    <row r="288" spans="1:12">
      <c r="A288" s="1"/>
      <c r="K288" s="1"/>
      <c r="L288" s="1"/>
    </row>
    <row r="289" spans="1:12">
      <c r="A289" s="1"/>
      <c r="K289" s="1"/>
      <c r="L289" s="1"/>
    </row>
    <row r="290" spans="1:12">
      <c r="A290" s="1"/>
      <c r="K290" s="1"/>
      <c r="L290" s="1"/>
    </row>
    <row r="291" spans="1:12">
      <c r="A291" s="1"/>
      <c r="K291" s="1"/>
      <c r="L291" s="1"/>
    </row>
    <row r="292" spans="1:12">
      <c r="A292" s="1"/>
      <c r="K292" s="1"/>
      <c r="L292" s="1"/>
    </row>
    <row r="293" spans="1:12">
      <c r="A293" s="1"/>
      <c r="K293" s="1"/>
      <c r="L293" s="1"/>
    </row>
    <row r="294" spans="1:12">
      <c r="A294" s="1"/>
      <c r="K294" s="1"/>
      <c r="L294" s="1"/>
    </row>
    <row r="295" spans="1:12">
      <c r="A295" s="1"/>
      <c r="K295" s="1"/>
      <c r="L295" s="1"/>
    </row>
    <row r="296" spans="1:12">
      <c r="A296" s="1"/>
      <c r="K296" s="1"/>
      <c r="L296" s="1"/>
    </row>
    <row r="297" spans="1:12">
      <c r="A297" s="1"/>
      <c r="K297" s="1"/>
      <c r="L297" s="1"/>
    </row>
    <row r="298" spans="1:12">
      <c r="A298" s="1"/>
      <c r="K298" s="1"/>
      <c r="L298" s="1"/>
    </row>
    <row r="299" spans="1:12">
      <c r="A299" s="1"/>
      <c r="K299" s="1"/>
      <c r="L299" s="1"/>
    </row>
    <row r="300" spans="1:12">
      <c r="A300" s="1"/>
      <c r="K300" s="1"/>
      <c r="L300" s="1"/>
    </row>
    <row r="301" spans="1:12">
      <c r="A301" s="1"/>
      <c r="K301" s="1"/>
      <c r="L301" s="1"/>
    </row>
    <row r="302" spans="1:12">
      <c r="A302" s="1"/>
      <c r="K302" s="1"/>
      <c r="L302" s="1"/>
    </row>
    <row r="303" spans="1:12">
      <c r="A303" s="1"/>
      <c r="K303" s="1"/>
      <c r="L303" s="1"/>
    </row>
    <row r="304" spans="1:12">
      <c r="A304" s="1"/>
      <c r="K304" s="1"/>
      <c r="L304" s="1"/>
    </row>
    <row r="305" spans="1:12">
      <c r="A305" s="1"/>
      <c r="K305" s="1"/>
      <c r="L305" s="1"/>
    </row>
    <row r="306" spans="1:12">
      <c r="A306" s="1"/>
      <c r="K306" s="1"/>
      <c r="L306" s="1"/>
    </row>
    <row r="307" spans="1:12">
      <c r="A307" s="1"/>
      <c r="K307" s="1"/>
      <c r="L307" s="1"/>
    </row>
    <row r="308" spans="1:12">
      <c r="A308" s="1"/>
      <c r="K308" s="1"/>
      <c r="L308" s="1"/>
    </row>
    <row r="309" spans="1:12">
      <c r="A309" s="1"/>
      <c r="K309" s="1"/>
      <c r="L309" s="1"/>
    </row>
    <row r="310" spans="1:12">
      <c r="A310" s="1"/>
      <c r="K310" s="1"/>
      <c r="L310" s="1"/>
    </row>
    <row r="311" spans="1:12">
      <c r="A311" s="1"/>
      <c r="K311" s="1"/>
      <c r="L311" s="1"/>
    </row>
    <row r="312" spans="1:12">
      <c r="A312" s="1"/>
      <c r="K312" s="1"/>
      <c r="L312" s="1"/>
    </row>
    <row r="313" spans="1:12">
      <c r="A313" s="1"/>
      <c r="K313" s="1"/>
      <c r="L313" s="1"/>
    </row>
    <row r="314" spans="1:12">
      <c r="A314" s="1"/>
      <c r="K314" s="1"/>
      <c r="L314" s="1"/>
    </row>
    <row r="315" spans="1:12">
      <c r="A315" s="1"/>
      <c r="K315" s="1"/>
      <c r="L315" s="1"/>
    </row>
    <row r="316" spans="1:12">
      <c r="A316" s="1"/>
      <c r="K316" s="1"/>
      <c r="L316" s="1"/>
    </row>
    <row r="317" spans="1:12">
      <c r="A317" s="1"/>
      <c r="K317" s="1"/>
      <c r="L317" s="1"/>
    </row>
    <row r="318" spans="1:12">
      <c r="A318" s="1"/>
      <c r="K318" s="1"/>
      <c r="L318" s="1"/>
    </row>
    <row r="319" spans="1:12">
      <c r="A319" s="1"/>
      <c r="K319" s="1"/>
      <c r="L319" s="1"/>
    </row>
    <row r="320" spans="1:12">
      <c r="A320" s="1"/>
      <c r="K320" s="1"/>
      <c r="L320" s="1"/>
    </row>
    <row r="321" spans="1:12">
      <c r="A321" s="1"/>
      <c r="K321" s="1"/>
      <c r="L321" s="1"/>
    </row>
    <row r="322" spans="1:12">
      <c r="A322" s="1"/>
      <c r="K322" s="1"/>
      <c r="L322" s="1"/>
    </row>
    <row r="323" spans="1:12">
      <c r="A323" s="1"/>
      <c r="K323" s="1"/>
      <c r="L323" s="1"/>
    </row>
    <row r="324" spans="1:12">
      <c r="A324" s="1"/>
      <c r="K324" s="1"/>
      <c r="L324" s="1"/>
    </row>
    <row r="325" spans="1:12">
      <c r="A325" s="1"/>
      <c r="K325" s="1"/>
      <c r="L325" s="1"/>
    </row>
    <row r="326" spans="1:12">
      <c r="A326" s="1"/>
      <c r="K326" s="1"/>
      <c r="L326" s="1"/>
    </row>
    <row r="327" spans="1:12">
      <c r="A327" s="1"/>
      <c r="K327" s="1"/>
      <c r="L327" s="1"/>
    </row>
    <row r="328" spans="1:12">
      <c r="A328" s="1"/>
      <c r="K328" s="1"/>
      <c r="L328" s="1"/>
    </row>
    <row r="329" spans="1:12">
      <c r="A329" s="1"/>
      <c r="K329" s="1"/>
      <c r="L329" s="1"/>
    </row>
    <row r="330" spans="1:12">
      <c r="A330" s="1"/>
      <c r="K330" s="1"/>
      <c r="L330" s="1"/>
    </row>
    <row r="331" spans="1:12">
      <c r="A331" s="1"/>
      <c r="K331" s="1"/>
      <c r="L331" s="1"/>
    </row>
    <row r="332" spans="1:12">
      <c r="A332" s="1"/>
      <c r="K332" s="1"/>
      <c r="L332" s="1"/>
    </row>
    <row r="333" spans="1:12">
      <c r="A333" s="1"/>
      <c r="K333" s="1"/>
      <c r="L333" s="1"/>
    </row>
    <row r="334" spans="1:12">
      <c r="A334" s="1"/>
      <c r="K334" s="1"/>
      <c r="L334" s="1"/>
    </row>
    <row r="335" spans="1:12">
      <c r="A335" s="1"/>
      <c r="K335" s="1"/>
      <c r="L335" s="1"/>
    </row>
    <row r="336" spans="1:12">
      <c r="A336" s="1"/>
      <c r="K336" s="1"/>
      <c r="L336" s="1"/>
    </row>
    <row r="337" spans="1:12">
      <c r="A337" s="1"/>
      <c r="K337" s="1"/>
      <c r="L337" s="1"/>
    </row>
    <row r="338" spans="1:12">
      <c r="A338" s="1"/>
      <c r="K338" s="1"/>
      <c r="L338" s="1"/>
    </row>
    <row r="339" spans="1:12">
      <c r="A339" s="1"/>
      <c r="K339" s="1"/>
      <c r="L339" s="1"/>
    </row>
    <row r="340" spans="1:12">
      <c r="A340" s="1"/>
      <c r="K340" s="1"/>
      <c r="L340" s="1"/>
    </row>
    <row r="341" spans="1:12">
      <c r="A341" s="1"/>
      <c r="K341" s="1"/>
      <c r="L341" s="1"/>
    </row>
    <row r="342" spans="1:12">
      <c r="A342" s="1"/>
      <c r="K342" s="1"/>
      <c r="L342" s="1"/>
    </row>
    <row r="343" spans="1:12">
      <c r="A343" s="1"/>
      <c r="K343" s="1"/>
      <c r="L343" s="1"/>
    </row>
    <row r="344" spans="1:12">
      <c r="A344" s="1"/>
      <c r="K344" s="1"/>
      <c r="L344" s="1"/>
    </row>
    <row r="345" spans="1:12">
      <c r="A345" s="1"/>
      <c r="K345" s="1"/>
      <c r="L345" s="1"/>
    </row>
    <row r="346" spans="1:12">
      <c r="A346" s="1"/>
      <c r="K346" s="1"/>
      <c r="L346" s="1"/>
    </row>
    <row r="347" spans="1:12">
      <c r="A347" s="1"/>
      <c r="K347" s="1"/>
      <c r="L347" s="1"/>
    </row>
    <row r="348" spans="1:12">
      <c r="A348" s="1"/>
      <c r="K348" s="1"/>
      <c r="L348" s="1"/>
    </row>
    <row r="349" spans="1:12">
      <c r="A349" s="1"/>
      <c r="K349" s="1"/>
      <c r="L349" s="1"/>
    </row>
    <row r="350" spans="1:12">
      <c r="A350" s="1"/>
      <c r="K350" s="1"/>
      <c r="L350" s="1"/>
    </row>
    <row r="351" spans="1:12">
      <c r="A351" s="1"/>
      <c r="K351" s="1"/>
      <c r="L351" s="1"/>
    </row>
    <row r="352" spans="1:12">
      <c r="A352" s="1"/>
      <c r="K352" s="1"/>
      <c r="L352" s="1"/>
    </row>
    <row r="353" spans="1:12">
      <c r="A353" s="1"/>
      <c r="K353" s="1"/>
      <c r="L353" s="1"/>
    </row>
    <row r="354" spans="1:12">
      <c r="A354" s="1"/>
      <c r="K354" s="1"/>
      <c r="L354" s="1"/>
    </row>
    <row r="355" spans="1:12">
      <c r="A355" s="1"/>
      <c r="K355" s="1"/>
      <c r="L355" s="1"/>
    </row>
    <row r="356" spans="1:12">
      <c r="A356" s="1"/>
      <c r="K356" s="1"/>
      <c r="L356" s="1"/>
    </row>
    <row r="357" spans="1:12">
      <c r="A357" s="1"/>
      <c r="K357" s="1"/>
      <c r="L357" s="1"/>
    </row>
    <row r="358" spans="1:12">
      <c r="A358" s="1"/>
      <c r="K358" s="1"/>
      <c r="L358" s="1"/>
    </row>
    <row r="359" spans="1:12">
      <c r="A359" s="1"/>
      <c r="K359" s="1"/>
      <c r="L359" s="1"/>
    </row>
    <row r="360" spans="1:12">
      <c r="A360" s="1"/>
      <c r="K360" s="1"/>
      <c r="L360" s="1"/>
    </row>
    <row r="361" spans="1:12">
      <c r="A361" s="1"/>
      <c r="K361" s="1"/>
      <c r="L361" s="1"/>
    </row>
    <row r="362" spans="1:12">
      <c r="A362" s="1"/>
      <c r="K362" s="1"/>
      <c r="L362" s="1"/>
    </row>
    <row r="363" spans="1:12">
      <c r="A363" s="1"/>
      <c r="K363" s="1"/>
      <c r="L363" s="1"/>
    </row>
    <row r="364" spans="1:12">
      <c r="A364" s="1"/>
      <c r="K364" s="1"/>
      <c r="L364" s="1"/>
    </row>
    <row r="365" spans="1:12">
      <c r="A365" s="1"/>
      <c r="K365" s="1"/>
      <c r="L365" s="1"/>
    </row>
    <row r="366" spans="1:12">
      <c r="A366" s="1"/>
      <c r="K366" s="1"/>
      <c r="L366" s="1"/>
    </row>
    <row r="367" spans="1:12">
      <c r="A367" s="1"/>
      <c r="K367" s="1"/>
      <c r="L367" s="1"/>
    </row>
    <row r="368" spans="1:12">
      <c r="A368" s="1"/>
      <c r="K368" s="1"/>
      <c r="L368" s="1"/>
    </row>
    <row r="369" spans="1:12">
      <c r="A369" s="1"/>
      <c r="K369" s="1"/>
      <c r="L369" s="1"/>
    </row>
    <row r="370" spans="1:12">
      <c r="A370" s="1"/>
      <c r="K370" s="1"/>
      <c r="L370" s="1"/>
    </row>
    <row r="371" spans="1:12">
      <c r="A371" s="1"/>
      <c r="K371" s="1"/>
      <c r="L371" s="1"/>
    </row>
    <row r="372" spans="1:12">
      <c r="A372" s="1"/>
      <c r="K372" s="1"/>
      <c r="L372" s="1"/>
    </row>
    <row r="373" spans="1:12">
      <c r="A373" s="1"/>
      <c r="K373" s="1"/>
      <c r="L373" s="1"/>
    </row>
    <row r="374" spans="1:12">
      <c r="A374" s="1"/>
      <c r="K374" s="1"/>
      <c r="L374" s="1"/>
    </row>
    <row r="375" spans="1:12">
      <c r="A375" s="1"/>
      <c r="K375" s="1"/>
      <c r="L375" s="1"/>
    </row>
    <row r="376" spans="1:12">
      <c r="A376" s="1"/>
      <c r="K376" s="1"/>
      <c r="L376" s="1"/>
    </row>
    <row r="377" spans="1:12">
      <c r="A377" s="1"/>
      <c r="K377" s="1"/>
      <c r="L377" s="1"/>
    </row>
    <row r="378" spans="1:12">
      <c r="A378" s="1"/>
      <c r="K378" s="1"/>
      <c r="L378" s="1"/>
    </row>
    <row r="379" spans="1:12">
      <c r="A379" s="1"/>
      <c r="K379" s="1"/>
      <c r="L379" s="1"/>
    </row>
    <row r="380" spans="1:12">
      <c r="A380" s="1"/>
      <c r="K380" s="1"/>
      <c r="L380" s="1"/>
    </row>
    <row r="381" spans="1:12">
      <c r="A381" s="1"/>
      <c r="K381" s="1"/>
      <c r="L381" s="1"/>
    </row>
    <row r="382" spans="1:12">
      <c r="A382" s="1"/>
      <c r="K382" s="1"/>
      <c r="L382" s="1"/>
    </row>
    <row r="383" spans="1:12">
      <c r="A383" s="1"/>
      <c r="K383" s="1"/>
      <c r="L383" s="1"/>
    </row>
    <row r="384" spans="1:12">
      <c r="A384" s="1"/>
      <c r="K384" s="1"/>
      <c r="L384" s="1"/>
    </row>
    <row r="385" spans="1:12">
      <c r="A385" s="1"/>
      <c r="K385" s="1"/>
      <c r="L385" s="1"/>
    </row>
    <row r="386" spans="1:12">
      <c r="A386" s="1"/>
      <c r="K386" s="1"/>
      <c r="L386" s="1"/>
    </row>
    <row r="387" spans="1:12">
      <c r="A387" s="1"/>
      <c r="K387" s="1"/>
      <c r="L387" s="1"/>
    </row>
    <row r="388" spans="1:12">
      <c r="A388" s="1"/>
      <c r="K388" s="1"/>
      <c r="L388" s="1"/>
    </row>
    <row r="389" spans="1:12">
      <c r="A389" s="1"/>
      <c r="K389" s="1"/>
      <c r="L389" s="1"/>
    </row>
    <row r="390" spans="1:12">
      <c r="A390" s="1"/>
      <c r="K390" s="1"/>
      <c r="L390" s="1"/>
    </row>
    <row r="391" spans="1:12">
      <c r="A391" s="1"/>
      <c r="K391" s="1"/>
      <c r="L391" s="1"/>
    </row>
    <row r="392" spans="1:12">
      <c r="A392" s="1"/>
      <c r="K392" s="1"/>
      <c r="L392" s="1"/>
    </row>
    <row r="393" spans="1:12">
      <c r="A393" s="1"/>
      <c r="K393" s="1"/>
      <c r="L393" s="1"/>
    </row>
    <row r="394" spans="1:12">
      <c r="A394" s="1"/>
      <c r="K394" s="1"/>
      <c r="L394" s="1"/>
    </row>
    <row r="395" spans="1:12">
      <c r="A395" s="1"/>
      <c r="K395" s="1"/>
      <c r="L395" s="1"/>
    </row>
    <row r="396" spans="1:12">
      <c r="A396" s="1"/>
      <c r="K396" s="1"/>
      <c r="L396" s="1"/>
    </row>
    <row r="397" spans="1:12">
      <c r="A397" s="1"/>
      <c r="K397" s="1"/>
      <c r="L397" s="1"/>
    </row>
    <row r="398" spans="1:12">
      <c r="A398" s="1"/>
      <c r="K398" s="1"/>
      <c r="L398" s="1"/>
    </row>
    <row r="399" spans="1:12">
      <c r="A399" s="1"/>
      <c r="K399" s="1"/>
      <c r="L399" s="1"/>
    </row>
    <row r="400" spans="1:12">
      <c r="A400" s="1"/>
      <c r="K400" s="1"/>
      <c r="L400" s="1"/>
    </row>
    <row r="401" spans="1:12">
      <c r="A401" s="1"/>
      <c r="K401" s="1"/>
      <c r="L401" s="1"/>
    </row>
    <row r="402" spans="1:12">
      <c r="A402" s="1"/>
      <c r="K402" s="1"/>
      <c r="L402" s="1"/>
    </row>
    <row r="403" spans="1:12">
      <c r="A403" s="1"/>
      <c r="K403" s="1"/>
      <c r="L403" s="1"/>
    </row>
    <row r="404" spans="1:12">
      <c r="A404" s="1"/>
      <c r="K404" s="1"/>
      <c r="L404" s="1"/>
    </row>
    <row r="405" spans="1:12">
      <c r="A405" s="1"/>
      <c r="K405" s="1"/>
      <c r="L405" s="1"/>
    </row>
    <row r="406" spans="1:12">
      <c r="A406" s="1"/>
      <c r="K406" s="1"/>
      <c r="L406" s="1"/>
    </row>
    <row r="407" spans="1:12">
      <c r="A407" s="1"/>
      <c r="K407" s="1"/>
      <c r="L407" s="1"/>
    </row>
    <row r="408" spans="1:12">
      <c r="A408" s="1"/>
      <c r="K408" s="1"/>
      <c r="L408" s="1"/>
    </row>
    <row r="409" spans="1:12">
      <c r="A409" s="1"/>
      <c r="K409" s="1"/>
      <c r="L409" s="1"/>
    </row>
    <row r="410" spans="1:12">
      <c r="A410" s="1"/>
      <c r="K410" s="1"/>
      <c r="L410" s="1"/>
    </row>
    <row r="411" spans="1:12">
      <c r="A411" s="1"/>
      <c r="K411" s="1"/>
      <c r="L411" s="1"/>
    </row>
    <row r="412" spans="1:12">
      <c r="A412" s="1"/>
      <c r="K412" s="1"/>
      <c r="L412" s="1"/>
    </row>
    <row r="413" spans="1:12">
      <c r="A413" s="1"/>
      <c r="K413" s="1"/>
      <c r="L413" s="1"/>
    </row>
    <row r="414" spans="1:12">
      <c r="A414" s="1"/>
      <c r="K414" s="1"/>
      <c r="L414" s="1"/>
    </row>
    <row r="415" spans="1:12">
      <c r="A415" s="1"/>
      <c r="K415" s="1"/>
      <c r="L415" s="1"/>
    </row>
    <row r="416" spans="1:12">
      <c r="A416" s="1"/>
      <c r="K416" s="1"/>
      <c r="L416" s="1"/>
    </row>
    <row r="417" spans="1:12">
      <c r="A417" s="1"/>
      <c r="K417" s="1"/>
      <c r="L417" s="1"/>
    </row>
    <row r="418" spans="1:12">
      <c r="A418" s="1"/>
      <c r="K418" s="1"/>
      <c r="L418" s="1"/>
    </row>
    <row r="419" spans="1:12">
      <c r="A419" s="1"/>
      <c r="K419" s="1"/>
      <c r="L419" s="1"/>
    </row>
    <row r="420" spans="1:12">
      <c r="A420" s="1"/>
      <c r="K420" s="1"/>
      <c r="L420" s="1"/>
    </row>
    <row r="421" spans="1:12">
      <c r="A421" s="1"/>
      <c r="K421" s="1"/>
      <c r="L421" s="1"/>
    </row>
    <row r="422" spans="1:12">
      <c r="A422" s="1"/>
      <c r="K422" s="1"/>
      <c r="L422" s="1"/>
    </row>
    <row r="423" spans="1:12">
      <c r="A423" s="1"/>
      <c r="K423" s="1"/>
      <c r="L423" s="1"/>
    </row>
    <row r="424" spans="1:12">
      <c r="A424" s="1"/>
      <c r="K424" s="1"/>
      <c r="L424" s="1"/>
    </row>
    <row r="425" spans="1:12">
      <c r="A425" s="1"/>
      <c r="K425" s="1"/>
      <c r="L425" s="1"/>
    </row>
    <row r="426" spans="1:12">
      <c r="A426" s="1"/>
      <c r="K426" s="1"/>
      <c r="L426" s="1"/>
    </row>
    <row r="427" spans="1:12">
      <c r="A427" s="1"/>
      <c r="K427" s="1"/>
      <c r="L427" s="1"/>
    </row>
    <row r="428" spans="1:12">
      <c r="A428" s="1"/>
      <c r="K428" s="1"/>
      <c r="L428" s="1"/>
    </row>
    <row r="429" spans="1:12">
      <c r="A429" s="1"/>
      <c r="K429" s="1"/>
      <c r="L429" s="1"/>
    </row>
    <row r="430" spans="1:12">
      <c r="A430" s="1"/>
      <c r="K430" s="1"/>
      <c r="L430" s="1"/>
    </row>
    <row r="431" spans="1:12">
      <c r="A431" s="1"/>
      <c r="K431" s="1"/>
      <c r="L431" s="1"/>
    </row>
    <row r="432" spans="1:12">
      <c r="A432" s="1"/>
      <c r="K432" s="1"/>
      <c r="L432" s="1"/>
    </row>
    <row r="433" spans="1:12">
      <c r="A433" s="1"/>
      <c r="K433" s="1"/>
      <c r="L433" s="1"/>
    </row>
    <row r="434" spans="1:12">
      <c r="A434" s="1"/>
      <c r="K434" s="1"/>
      <c r="L434" s="1"/>
    </row>
    <row r="435" spans="1:12">
      <c r="A435" s="1"/>
      <c r="K435" s="1"/>
      <c r="L435" s="1"/>
    </row>
    <row r="436" spans="1:12">
      <c r="A436" s="1"/>
      <c r="K436" s="1"/>
      <c r="L436" s="1"/>
    </row>
    <row r="437" spans="1:12">
      <c r="A437" s="1"/>
      <c r="K437" s="1"/>
      <c r="L437" s="1"/>
    </row>
    <row r="438" spans="1:12">
      <c r="A438" s="1"/>
      <c r="K438" s="1"/>
      <c r="L438" s="1"/>
    </row>
    <row r="439" spans="1:12">
      <c r="A439" s="1"/>
      <c r="K439" s="1"/>
      <c r="L439" s="1"/>
    </row>
    <row r="440" spans="1:12">
      <c r="A440" s="1"/>
      <c r="K440" s="1"/>
      <c r="L440" s="1"/>
    </row>
    <row r="441" spans="1:12">
      <c r="A441" s="1"/>
      <c r="K441" s="1"/>
      <c r="L441" s="1"/>
    </row>
    <row r="442" spans="1:12">
      <c r="A442" s="1"/>
      <c r="K442" s="1"/>
      <c r="L442" s="1"/>
    </row>
    <row r="443" spans="1:12">
      <c r="A443" s="1"/>
      <c r="K443" s="1"/>
      <c r="L443" s="1"/>
    </row>
    <row r="444" spans="1:12">
      <c r="A444" s="1"/>
      <c r="K444" s="1"/>
      <c r="L444" s="1"/>
    </row>
    <row r="445" spans="1:12">
      <c r="A445" s="1"/>
      <c r="K445" s="1"/>
      <c r="L445" s="1"/>
    </row>
    <row r="446" spans="1:12">
      <c r="A446" s="1"/>
      <c r="K446" s="1"/>
      <c r="L446" s="1"/>
    </row>
    <row r="447" spans="1:12">
      <c r="A447" s="1"/>
      <c r="K447" s="1"/>
      <c r="L447" s="1"/>
    </row>
    <row r="448" spans="1:12">
      <c r="A448" s="1"/>
      <c r="K448" s="1"/>
      <c r="L448" s="1"/>
    </row>
    <row r="449" spans="1:12">
      <c r="A449" s="1"/>
      <c r="K449" s="1"/>
      <c r="L449" s="1"/>
    </row>
    <row r="450" spans="1:12">
      <c r="A450" s="1"/>
      <c r="K450" s="1"/>
      <c r="L450" s="1"/>
    </row>
    <row r="451" spans="1:12">
      <c r="A451" s="1"/>
      <c r="K451" s="1"/>
      <c r="L451" s="1"/>
    </row>
    <row r="452" spans="1:12">
      <c r="A452" s="1"/>
      <c r="K452" s="1"/>
      <c r="L452" s="1"/>
    </row>
    <row r="453" spans="1:12">
      <c r="A453" s="1"/>
      <c r="K453" s="1"/>
      <c r="L453" s="1"/>
    </row>
    <row r="454" spans="1:12">
      <c r="A454" s="1"/>
      <c r="K454" s="1"/>
      <c r="L454" s="1"/>
    </row>
    <row r="455" spans="1:12">
      <c r="A455" s="1"/>
      <c r="K455" s="1"/>
      <c r="L455" s="1"/>
    </row>
    <row r="456" spans="1:12">
      <c r="A456" s="1"/>
      <c r="K456" s="1"/>
      <c r="L456" s="1"/>
    </row>
    <row r="457" spans="1:12">
      <c r="A457" s="1"/>
      <c r="K457" s="1"/>
      <c r="L457" s="1"/>
    </row>
    <row r="458" spans="1:12">
      <c r="A458" s="1"/>
      <c r="K458" s="1"/>
      <c r="L458" s="1"/>
    </row>
    <row r="459" spans="1:12">
      <c r="A459" s="1"/>
      <c r="K459" s="1"/>
      <c r="L459" s="1"/>
    </row>
    <row r="460" spans="1:12">
      <c r="A460" s="1"/>
      <c r="K460" s="1"/>
      <c r="L460" s="1"/>
    </row>
    <row r="461" spans="1:12">
      <c r="A461" s="1"/>
      <c r="K461" s="1"/>
      <c r="L461" s="1"/>
    </row>
    <row r="462" spans="1:12">
      <c r="A462" s="1"/>
      <c r="K462" s="1"/>
      <c r="L462" s="1"/>
    </row>
    <row r="463" spans="1:12">
      <c r="A463" s="1"/>
      <c r="K463" s="1"/>
      <c r="L463" s="1"/>
    </row>
    <row r="464" spans="1:12">
      <c r="A464" s="1"/>
      <c r="K464" s="1"/>
      <c r="L464" s="1"/>
    </row>
    <row r="465" spans="1:12">
      <c r="A465" s="1"/>
      <c r="K465" s="1"/>
      <c r="L465" s="1"/>
    </row>
    <row r="466" spans="1:12">
      <c r="A466" s="1"/>
      <c r="K466" s="1"/>
      <c r="L466" s="1"/>
    </row>
    <row r="467" spans="1:12">
      <c r="A467" s="1"/>
      <c r="K467" s="1"/>
      <c r="L467" s="1"/>
    </row>
    <row r="468" spans="1:12">
      <c r="A468" s="1"/>
      <c r="K468" s="1"/>
      <c r="L468" s="1"/>
    </row>
    <row r="469" spans="1:12">
      <c r="A469" s="1"/>
      <c r="K469" s="1"/>
      <c r="L469" s="1"/>
    </row>
    <row r="470" spans="1:12">
      <c r="A470" s="1"/>
      <c r="K470" s="1"/>
      <c r="L470" s="1"/>
    </row>
    <row r="471" spans="1:12">
      <c r="A471" s="1"/>
      <c r="K471" s="1"/>
      <c r="L471" s="1"/>
    </row>
    <row r="472" spans="1:12">
      <c r="A472" s="1"/>
      <c r="K472" s="1"/>
      <c r="L472" s="1"/>
    </row>
    <row r="473" spans="1:12">
      <c r="A473" s="1"/>
      <c r="K473" s="1"/>
      <c r="L473" s="1"/>
    </row>
    <row r="474" spans="1:12">
      <c r="A474" s="1"/>
      <c r="K474" s="1"/>
      <c r="L474" s="1"/>
    </row>
    <row r="475" spans="1:12">
      <c r="A475" s="1"/>
      <c r="K475" s="1"/>
      <c r="L475" s="1"/>
    </row>
    <row r="476" spans="1:12">
      <c r="A476" s="1"/>
      <c r="K476" s="1"/>
      <c r="L476" s="1"/>
    </row>
    <row r="477" spans="1:12">
      <c r="A477" s="1"/>
      <c r="K477" s="1"/>
      <c r="L477" s="1"/>
    </row>
    <row r="478" spans="1:12">
      <c r="A478" s="1"/>
      <c r="K478" s="1"/>
      <c r="L478" s="1"/>
    </row>
    <row r="479" spans="1:12">
      <c r="A479" s="1"/>
      <c r="K479" s="1"/>
      <c r="L479" s="1"/>
    </row>
    <row r="480" spans="1:12">
      <c r="A480" s="1"/>
      <c r="K480" s="1"/>
      <c r="L480" s="1"/>
    </row>
    <row r="481" spans="1:12">
      <c r="A481" s="1"/>
      <c r="K481" s="1"/>
      <c r="L481" s="1"/>
    </row>
    <row r="482" spans="1:12">
      <c r="A482" s="1"/>
      <c r="K482" s="1"/>
      <c r="L482" s="1"/>
    </row>
    <row r="483" spans="1:12">
      <c r="A483" s="1"/>
      <c r="K483" s="1"/>
      <c r="L483" s="1"/>
    </row>
    <row r="484" spans="1:12">
      <c r="A484" s="1"/>
      <c r="K484" s="1"/>
      <c r="L484" s="1"/>
    </row>
    <row r="485" spans="1:12">
      <c r="A485" s="1"/>
      <c r="K485" s="1"/>
      <c r="L485" s="1"/>
    </row>
    <row r="486" spans="1:12">
      <c r="A486" s="1"/>
      <c r="K486" s="1"/>
      <c r="L486" s="1"/>
    </row>
    <row r="487" spans="1:12">
      <c r="A487" s="1"/>
      <c r="K487" s="1"/>
      <c r="L487" s="1"/>
    </row>
    <row r="488" spans="1:12">
      <c r="A488" s="1"/>
      <c r="K488" s="1"/>
      <c r="L488" s="1"/>
    </row>
    <row r="489" spans="1:12">
      <c r="A489" s="1"/>
      <c r="K489" s="1"/>
      <c r="L489" s="1"/>
    </row>
    <row r="490" spans="1:12">
      <c r="A490" s="1"/>
      <c r="K490" s="1"/>
      <c r="L490" s="1"/>
    </row>
    <row r="491" spans="1:12">
      <c r="A491" s="1"/>
      <c r="K491" s="1"/>
      <c r="L491" s="1"/>
    </row>
    <row r="492" spans="1:12">
      <c r="A492" s="1"/>
      <c r="K492" s="1"/>
      <c r="L492" s="1"/>
    </row>
    <row r="493" spans="1:12">
      <c r="A493" s="1"/>
      <c r="K493" s="1"/>
      <c r="L493" s="1"/>
    </row>
    <row r="494" spans="1:12">
      <c r="A494" s="1"/>
      <c r="K494" s="1"/>
      <c r="L494" s="1"/>
    </row>
    <row r="495" spans="1:12">
      <c r="A495" s="1"/>
      <c r="K495" s="1"/>
      <c r="L495" s="1"/>
    </row>
    <row r="496" spans="1:12">
      <c r="A496" s="1"/>
      <c r="K496" s="1"/>
      <c r="L496" s="1"/>
    </row>
    <row r="497" spans="1:12">
      <c r="A497" s="1"/>
      <c r="K497" s="1"/>
      <c r="L497" s="1"/>
    </row>
    <row r="498" spans="1:12">
      <c r="A498" s="1"/>
      <c r="K498" s="1"/>
      <c r="L498" s="1"/>
    </row>
    <row r="499" spans="1:12">
      <c r="A499" s="1"/>
      <c r="K499" s="1"/>
      <c r="L499" s="1"/>
    </row>
    <row r="500" spans="1:12">
      <c r="A500" s="1"/>
      <c r="K500" s="1"/>
      <c r="L500" s="1"/>
    </row>
    <row r="501" spans="1:12">
      <c r="A501" s="1"/>
      <c r="K501" s="1"/>
      <c r="L501" s="1"/>
    </row>
    <row r="502" spans="1:12">
      <c r="A502" s="1"/>
      <c r="K502" s="1"/>
      <c r="L502" s="1"/>
    </row>
    <row r="503" spans="1:12">
      <c r="A503" s="1"/>
      <c r="K503" s="1"/>
      <c r="L503" s="1"/>
    </row>
    <row r="504" spans="1:12">
      <c r="A504" s="1"/>
      <c r="K504" s="1"/>
      <c r="L504" s="1"/>
    </row>
    <row r="505" spans="1:12">
      <c r="A505" s="1"/>
      <c r="K505" s="1"/>
      <c r="L505" s="1"/>
    </row>
    <row r="506" spans="1:12">
      <c r="A506" s="1"/>
      <c r="K506" s="1"/>
      <c r="L506" s="1"/>
    </row>
    <row r="507" spans="1:12">
      <c r="A507" s="1"/>
      <c r="K507" s="1"/>
      <c r="L507" s="1"/>
    </row>
    <row r="508" spans="1:12">
      <c r="A508" s="1"/>
      <c r="K508" s="1"/>
      <c r="L508" s="1"/>
    </row>
    <row r="509" spans="1:12">
      <c r="A509" s="1"/>
      <c r="K509" s="1"/>
      <c r="L509" s="1"/>
    </row>
    <row r="510" spans="1:12">
      <c r="A510" s="1"/>
      <c r="K510" s="1"/>
      <c r="L510" s="1"/>
    </row>
    <row r="511" spans="1:12">
      <c r="A511" s="1"/>
      <c r="K511" s="1"/>
      <c r="L511" s="1"/>
    </row>
    <row r="512" spans="1:12">
      <c r="A512" s="1"/>
      <c r="K512" s="1"/>
      <c r="L512" s="1"/>
    </row>
    <row r="513" spans="1:12">
      <c r="A513" s="1"/>
      <c r="K513" s="1"/>
      <c r="L513" s="1"/>
    </row>
    <row r="514" spans="1:12">
      <c r="A514" s="1"/>
      <c r="K514" s="1"/>
      <c r="L514" s="1"/>
    </row>
    <row r="515" spans="1:12">
      <c r="A515" s="1"/>
      <c r="K515" s="1"/>
      <c r="L515" s="1"/>
    </row>
    <row r="516" spans="1:12">
      <c r="A516" s="1"/>
      <c r="K516" s="1"/>
      <c r="L516" s="1"/>
    </row>
    <row r="517" spans="1:12">
      <c r="A517" s="1"/>
      <c r="K517" s="1"/>
      <c r="L517" s="1"/>
    </row>
    <row r="518" spans="1:12">
      <c r="A518" s="1"/>
      <c r="K518" s="1"/>
      <c r="L518" s="1"/>
    </row>
    <row r="519" spans="1:12">
      <c r="A519" s="1"/>
      <c r="K519" s="1"/>
      <c r="L519" s="1"/>
    </row>
    <row r="520" spans="1:12">
      <c r="A520" s="1"/>
      <c r="K520" s="1"/>
      <c r="L520" s="1"/>
    </row>
    <row r="521" spans="1:12">
      <c r="A521" s="1"/>
      <c r="K521" s="1"/>
      <c r="L521" s="1"/>
    </row>
    <row r="522" spans="1:12">
      <c r="A522" s="1"/>
      <c r="K522" s="1"/>
      <c r="L522" s="1"/>
    </row>
    <row r="523" spans="1:12">
      <c r="A523" s="1"/>
      <c r="K523" s="1"/>
      <c r="L523" s="1"/>
    </row>
    <row r="524" spans="1:12">
      <c r="A524" s="1"/>
      <c r="K524" s="1"/>
      <c r="L524" s="1"/>
    </row>
    <row r="525" spans="1:12">
      <c r="A525" s="1"/>
      <c r="K525" s="1"/>
      <c r="L525" s="1"/>
    </row>
    <row r="526" spans="1:12">
      <c r="A526" s="1"/>
      <c r="K526" s="1"/>
      <c r="L526" s="1"/>
    </row>
    <row r="527" spans="1:12">
      <c r="A527" s="1"/>
      <c r="K527" s="1"/>
      <c r="L527" s="1"/>
    </row>
    <row r="528" spans="1:12">
      <c r="A528" s="1"/>
      <c r="K528" s="1"/>
      <c r="L528" s="1"/>
    </row>
    <row r="529" spans="1:12">
      <c r="A529" s="1"/>
      <c r="K529" s="1"/>
      <c r="L529" s="1"/>
    </row>
    <row r="530" spans="1:12">
      <c r="A530" s="1"/>
      <c r="K530" s="1"/>
      <c r="L530" s="1"/>
    </row>
    <row r="531" spans="1:12">
      <c r="A531" s="1"/>
      <c r="K531" s="1"/>
      <c r="L531" s="1"/>
    </row>
    <row r="532" spans="1:12">
      <c r="A532" s="1"/>
      <c r="K532" s="1"/>
      <c r="L532" s="1"/>
    </row>
    <row r="533" spans="1:12">
      <c r="A533" s="1"/>
      <c r="K533" s="1"/>
      <c r="L533" s="1"/>
    </row>
    <row r="534" spans="1:12">
      <c r="A534" s="1"/>
      <c r="K534" s="1"/>
      <c r="L534" s="1"/>
    </row>
    <row r="535" spans="1:12">
      <c r="A535" s="1"/>
      <c r="K535" s="1"/>
      <c r="L535" s="1"/>
    </row>
    <row r="536" spans="1:12">
      <c r="A536" s="1"/>
      <c r="K536" s="1"/>
      <c r="L536" s="1"/>
    </row>
    <row r="537" spans="1:12">
      <c r="A537" s="1"/>
      <c r="K537" s="1"/>
      <c r="L537" s="1"/>
    </row>
    <row r="538" spans="1:12">
      <c r="A538" s="1"/>
      <c r="K538" s="1"/>
      <c r="L538" s="1"/>
    </row>
    <row r="539" spans="1:12">
      <c r="A539" s="1"/>
      <c r="K539" s="1"/>
      <c r="L539" s="1"/>
    </row>
    <row r="540" spans="1:12">
      <c r="A540" s="1"/>
      <c r="K540" s="1"/>
      <c r="L540" s="1"/>
    </row>
    <row r="541" spans="1:12">
      <c r="A541" s="1"/>
      <c r="K541" s="1"/>
      <c r="L541" s="1"/>
    </row>
    <row r="542" spans="1:12">
      <c r="A542" s="1"/>
      <c r="K542" s="1"/>
      <c r="L542" s="1"/>
    </row>
    <row r="543" spans="1:12">
      <c r="A543" s="1"/>
      <c r="K543" s="1"/>
      <c r="L543" s="1"/>
    </row>
    <row r="544" spans="1:12">
      <c r="A544" s="1"/>
      <c r="K544" s="1"/>
      <c r="L544" s="1"/>
    </row>
    <row r="545" spans="1:12">
      <c r="A545" s="1"/>
      <c r="K545" s="1"/>
      <c r="L545" s="1"/>
    </row>
    <row r="546" spans="1:12">
      <c r="A546" s="1"/>
      <c r="K546" s="1"/>
      <c r="L546" s="1"/>
    </row>
    <row r="547" spans="1:12">
      <c r="A547" s="1"/>
      <c r="K547" s="1"/>
      <c r="L547" s="1"/>
    </row>
    <row r="548" spans="1:12">
      <c r="A548" s="1"/>
      <c r="K548" s="1"/>
      <c r="L548" s="1"/>
    </row>
    <row r="549" spans="1:12">
      <c r="A549" s="1"/>
      <c r="K549" s="1"/>
      <c r="L549" s="1"/>
    </row>
    <row r="550" spans="1:12">
      <c r="A550" s="1"/>
      <c r="K550" s="1"/>
      <c r="L550" s="1"/>
    </row>
    <row r="551" spans="1:12">
      <c r="A551" s="1"/>
      <c r="K551" s="1"/>
      <c r="L551" s="1"/>
    </row>
    <row r="552" spans="1:12">
      <c r="A552" s="1"/>
      <c r="K552" s="1"/>
      <c r="L552" s="1"/>
    </row>
    <row r="553" spans="1:12">
      <c r="A553" s="1"/>
      <c r="K553" s="1"/>
      <c r="L553" s="1"/>
    </row>
    <row r="554" spans="1:12">
      <c r="A554" s="1"/>
      <c r="K554" s="1"/>
      <c r="L554" s="1"/>
    </row>
    <row r="555" spans="1:12">
      <c r="A555" s="1"/>
      <c r="K555" s="1"/>
      <c r="L555" s="1"/>
    </row>
    <row r="556" spans="1:12">
      <c r="A556" s="1"/>
      <c r="K556" s="1"/>
      <c r="L556" s="1"/>
    </row>
    <row r="557" spans="1:12">
      <c r="A557" s="1"/>
      <c r="K557" s="1"/>
      <c r="L557" s="1"/>
    </row>
    <row r="558" spans="1:12">
      <c r="A558" s="1"/>
      <c r="K558" s="1"/>
      <c r="L558" s="1"/>
    </row>
    <row r="559" spans="1:12">
      <c r="A559" s="1"/>
      <c r="K559" s="1"/>
      <c r="L559" s="1"/>
    </row>
    <row r="560" spans="1:12">
      <c r="A560" s="1"/>
      <c r="K560" s="1"/>
      <c r="L560" s="1"/>
    </row>
    <row r="561" spans="1:12">
      <c r="A561" s="1"/>
      <c r="K561" s="1"/>
      <c r="L561" s="1"/>
    </row>
    <row r="562" spans="1:12">
      <c r="A562" s="1"/>
      <c r="K562" s="1"/>
      <c r="L562" s="1"/>
    </row>
    <row r="563" spans="1:12">
      <c r="A563" s="1"/>
      <c r="K563" s="1"/>
      <c r="L563" s="1"/>
    </row>
    <row r="564" spans="1:12">
      <c r="A564" s="1"/>
      <c r="K564" s="1"/>
      <c r="L564" s="1"/>
    </row>
    <row r="565" spans="1:12">
      <c r="A565" s="1"/>
      <c r="K565" s="1"/>
      <c r="L565" s="1"/>
    </row>
    <row r="566" spans="1:12">
      <c r="A566" s="1"/>
      <c r="K566" s="1"/>
      <c r="L566" s="1"/>
    </row>
    <row r="567" spans="1:12">
      <c r="A567" s="1"/>
      <c r="K567" s="1"/>
      <c r="L567" s="1"/>
    </row>
    <row r="568" spans="1:12">
      <c r="A568" s="1"/>
      <c r="K568" s="1"/>
      <c r="L568" s="1"/>
    </row>
    <row r="569" spans="1:12">
      <c r="A569" s="1"/>
      <c r="K569" s="1"/>
      <c r="L569" s="1"/>
    </row>
    <row r="570" spans="1:12">
      <c r="A570" s="1"/>
      <c r="K570" s="1"/>
      <c r="L570" s="1"/>
    </row>
    <row r="571" spans="1:12">
      <c r="A571" s="1"/>
      <c r="K571" s="1"/>
      <c r="L571" s="1"/>
    </row>
    <row r="572" spans="1:12">
      <c r="A572" s="1"/>
      <c r="K572" s="1"/>
      <c r="L572" s="1"/>
    </row>
    <row r="573" spans="1:12">
      <c r="A573" s="1"/>
      <c r="K573" s="1"/>
      <c r="L573" s="1"/>
    </row>
    <row r="574" spans="1:12">
      <c r="A574" s="1"/>
      <c r="K574" s="1"/>
      <c r="L574" s="1"/>
    </row>
    <row r="575" spans="1:12">
      <c r="A575" s="1"/>
      <c r="K575" s="1"/>
      <c r="L575" s="1"/>
    </row>
    <row r="576" spans="1:12">
      <c r="A576" s="1"/>
      <c r="K576" s="1"/>
      <c r="L576" s="1"/>
    </row>
    <row r="577" spans="1:12">
      <c r="A577" s="1"/>
      <c r="K577" s="1"/>
      <c r="L577" s="1"/>
    </row>
    <row r="578" spans="1:12">
      <c r="A578" s="1"/>
      <c r="K578" s="1"/>
      <c r="L578" s="1"/>
    </row>
    <row r="579" spans="1:12">
      <c r="A579" s="1"/>
      <c r="K579" s="1"/>
      <c r="L579" s="1"/>
    </row>
    <row r="580" spans="1:12">
      <c r="A580" s="1"/>
      <c r="K580" s="1"/>
      <c r="L580" s="1"/>
    </row>
    <row r="581" spans="1:12">
      <c r="A581" s="1"/>
      <c r="K581" s="1"/>
      <c r="L581" s="1"/>
    </row>
    <row r="582" spans="1:12">
      <c r="A582" s="1"/>
      <c r="K582" s="1"/>
      <c r="L582" s="1"/>
    </row>
    <row r="583" spans="1:12">
      <c r="A583" s="1"/>
      <c r="K583" s="1"/>
      <c r="L583" s="1"/>
    </row>
    <row r="584" spans="1:12">
      <c r="A584" s="1"/>
      <c r="K584" s="1"/>
      <c r="L584" s="1"/>
    </row>
    <row r="585" spans="1:12">
      <c r="A585" s="1"/>
      <c r="K585" s="1"/>
      <c r="L585" s="1"/>
    </row>
    <row r="586" spans="1:12">
      <c r="A586" s="1"/>
      <c r="K586" s="1"/>
      <c r="L586" s="1"/>
    </row>
    <row r="587" spans="1:12">
      <c r="A587" s="1"/>
      <c r="K587" s="1"/>
      <c r="L587" s="1"/>
    </row>
    <row r="588" spans="1:12">
      <c r="A588" s="1"/>
      <c r="K588" s="1"/>
      <c r="L588" s="1"/>
    </row>
    <row r="589" spans="1:12">
      <c r="A589" s="1"/>
      <c r="K589" s="1"/>
      <c r="L589" s="1"/>
    </row>
    <row r="590" spans="1:12">
      <c r="A590" s="1"/>
      <c r="K590" s="1"/>
      <c r="L590" s="1"/>
    </row>
    <row r="591" spans="1:12">
      <c r="A591" s="1"/>
      <c r="K591" s="1"/>
      <c r="L591" s="1"/>
    </row>
    <row r="592" spans="1:12">
      <c r="A592" s="1"/>
      <c r="K592" s="1"/>
      <c r="L592" s="1"/>
    </row>
    <row r="593" spans="1:12">
      <c r="A593" s="1"/>
      <c r="K593" s="1"/>
      <c r="L593" s="1"/>
    </row>
    <row r="594" spans="1:12">
      <c r="A594" s="1"/>
      <c r="K594" s="1"/>
      <c r="L594" s="1"/>
    </row>
    <row r="595" spans="1:12">
      <c r="A595" s="1"/>
      <c r="K595" s="1"/>
      <c r="L595" s="1"/>
    </row>
    <row r="596" spans="1:12">
      <c r="A596" s="1"/>
      <c r="K596" s="1"/>
      <c r="L596" s="1"/>
    </row>
    <row r="597" spans="1:12">
      <c r="A597" s="1"/>
      <c r="K597" s="1"/>
      <c r="L597" s="1"/>
    </row>
    <row r="598" spans="1:12">
      <c r="A598" s="1"/>
      <c r="K598" s="1"/>
      <c r="L598" s="1"/>
    </row>
    <row r="599" spans="1:12">
      <c r="A599" s="1"/>
      <c r="K599" s="1"/>
      <c r="L599" s="1"/>
    </row>
    <row r="600" spans="1:12">
      <c r="A600" s="1"/>
      <c r="K600" s="1"/>
      <c r="L600" s="1"/>
    </row>
    <row r="601" spans="1:12">
      <c r="A601" s="1"/>
      <c r="K601" s="1"/>
      <c r="L601" s="1"/>
    </row>
    <row r="602" spans="1:12">
      <c r="A602" s="1"/>
      <c r="K602" s="1"/>
      <c r="L602" s="1"/>
    </row>
    <row r="603" spans="1:12">
      <c r="A603" s="1"/>
      <c r="K603" s="1"/>
      <c r="L603" s="1"/>
    </row>
    <row r="604" spans="1:12">
      <c r="A604" s="1"/>
      <c r="K604" s="1"/>
      <c r="L604" s="1"/>
    </row>
    <row r="605" spans="1:12">
      <c r="A605" s="1"/>
      <c r="K605" s="1"/>
      <c r="L605" s="1"/>
    </row>
    <row r="606" spans="1:12">
      <c r="A606" s="1"/>
      <c r="K606" s="1"/>
      <c r="L606" s="1"/>
    </row>
    <row r="607" spans="1:12">
      <c r="A607" s="1"/>
      <c r="K607" s="1"/>
      <c r="L607" s="1"/>
    </row>
    <row r="608" spans="1:12">
      <c r="A608" s="1"/>
      <c r="K608" s="1"/>
      <c r="L608" s="1"/>
    </row>
    <row r="609" spans="1:12">
      <c r="A609" s="1"/>
      <c r="K609" s="1"/>
      <c r="L609" s="1"/>
    </row>
    <row r="610" spans="1:12">
      <c r="A610" s="1"/>
      <c r="K610" s="1"/>
      <c r="L610" s="1"/>
    </row>
    <row r="611" spans="1:12">
      <c r="A611" s="1"/>
      <c r="K611" s="1"/>
      <c r="L611" s="1"/>
    </row>
    <row r="612" spans="1:12">
      <c r="A612" s="1"/>
      <c r="K612" s="1"/>
      <c r="L612" s="1"/>
    </row>
    <row r="613" spans="1:12">
      <c r="A613" s="1"/>
      <c r="K613" s="1"/>
      <c r="L613" s="1"/>
    </row>
    <row r="614" spans="1:12">
      <c r="A614" s="1"/>
      <c r="K614" s="1"/>
      <c r="L614" s="1"/>
    </row>
    <row r="615" spans="1:12">
      <c r="A615" s="1"/>
      <c r="K615" s="1"/>
      <c r="L615" s="1"/>
    </row>
    <row r="616" spans="1:12">
      <c r="A616" s="1"/>
      <c r="K616" s="1"/>
      <c r="L616" s="1"/>
    </row>
    <row r="617" spans="1:12">
      <c r="A617" s="1"/>
      <c r="K617" s="1"/>
      <c r="L617" s="1"/>
    </row>
    <row r="618" spans="1:12">
      <c r="A618" s="1"/>
      <c r="K618" s="1"/>
      <c r="L618" s="1"/>
    </row>
    <row r="619" spans="1:12">
      <c r="A619" s="1"/>
      <c r="K619" s="1"/>
      <c r="L619" s="1"/>
    </row>
    <row r="620" spans="1:12">
      <c r="A620" s="1"/>
      <c r="K620" s="1"/>
      <c r="L620" s="1"/>
    </row>
    <row r="621" spans="1:12">
      <c r="A621" s="1"/>
      <c r="K621" s="1"/>
      <c r="L621" s="1"/>
    </row>
    <row r="622" spans="1:12">
      <c r="A622" s="1"/>
      <c r="K622" s="1"/>
      <c r="L622" s="1"/>
    </row>
    <row r="623" spans="1:12">
      <c r="A623" s="1"/>
      <c r="K623" s="1"/>
      <c r="L623" s="1"/>
    </row>
    <row r="624" spans="1:12">
      <c r="A624" s="1"/>
      <c r="K624" s="1"/>
      <c r="L624" s="1"/>
    </row>
    <row r="625" spans="1:12">
      <c r="A625" s="1"/>
      <c r="K625" s="1"/>
      <c r="L625" s="1"/>
    </row>
    <row r="626" spans="1:12">
      <c r="A626" s="1"/>
      <c r="K626" s="1"/>
      <c r="L626" s="1"/>
    </row>
    <row r="627" spans="1:12">
      <c r="A627" s="1"/>
      <c r="K627" s="1"/>
      <c r="L627" s="1"/>
    </row>
    <row r="628" spans="1:12">
      <c r="A628" s="1"/>
      <c r="K628" s="1"/>
      <c r="L628" s="1"/>
    </row>
    <row r="629" spans="1:12">
      <c r="A629" s="1"/>
      <c r="K629" s="1"/>
      <c r="L629" s="1"/>
    </row>
    <row r="630" spans="1:12">
      <c r="A630" s="1"/>
      <c r="K630" s="1"/>
      <c r="L630" s="1"/>
    </row>
    <row r="631" spans="1:12">
      <c r="A631" s="1"/>
      <c r="K631" s="1"/>
      <c r="L631" s="1"/>
    </row>
    <row r="632" spans="1:12">
      <c r="A632" s="1"/>
      <c r="K632" s="1"/>
      <c r="L632" s="1"/>
    </row>
    <row r="633" spans="1:12">
      <c r="A633" s="1"/>
      <c r="K633" s="1"/>
      <c r="L633" s="1"/>
    </row>
    <row r="634" spans="1:12">
      <c r="A634" s="1"/>
      <c r="K634" s="1"/>
      <c r="L634" s="1"/>
    </row>
    <row r="635" spans="1:12">
      <c r="A635" s="1"/>
      <c r="K635" s="1"/>
      <c r="L635" s="1"/>
    </row>
    <row r="636" spans="1:12">
      <c r="A636" s="1"/>
      <c r="K636" s="1"/>
      <c r="L636" s="1"/>
    </row>
    <row r="637" spans="1:12">
      <c r="A637" s="1"/>
      <c r="K637" s="1"/>
      <c r="L637" s="1"/>
    </row>
    <row r="638" spans="1:12">
      <c r="A638" s="1"/>
      <c r="K638" s="1"/>
      <c r="L638" s="1"/>
    </row>
    <row r="639" spans="1:12">
      <c r="A639" s="1"/>
      <c r="K639" s="1"/>
      <c r="L639" s="1"/>
    </row>
    <row r="640" spans="1:12">
      <c r="A640" s="1"/>
      <c r="K640" s="1"/>
      <c r="L640" s="1"/>
    </row>
    <row r="641" spans="1:12">
      <c r="A641" s="1"/>
      <c r="K641" s="1"/>
      <c r="L641" s="1"/>
    </row>
    <row r="642" spans="1:12">
      <c r="A642" s="1"/>
      <c r="K642" s="1"/>
      <c r="L642" s="1"/>
    </row>
    <row r="643" spans="1:12">
      <c r="A643" s="1"/>
      <c r="K643" s="1"/>
      <c r="L643" s="1"/>
    </row>
    <row r="644" spans="1:12">
      <c r="A644" s="1"/>
      <c r="K644" s="1"/>
      <c r="L644" s="1"/>
    </row>
    <row r="645" spans="1:12">
      <c r="A645" s="1"/>
      <c r="K645" s="1"/>
      <c r="L645" s="1"/>
    </row>
    <row r="646" spans="1:12">
      <c r="A646" s="1"/>
      <c r="K646" s="1"/>
      <c r="L646" s="1"/>
    </row>
    <row r="647" spans="1:12">
      <c r="A647" s="1"/>
      <c r="K647" s="1"/>
      <c r="L647" s="1"/>
    </row>
    <row r="648" spans="1:12">
      <c r="A648" s="1"/>
      <c r="K648" s="1"/>
      <c r="L648" s="1"/>
    </row>
    <row r="649" spans="1:12">
      <c r="A649" s="1"/>
      <c r="K649" s="1"/>
      <c r="L649" s="1"/>
    </row>
    <row r="650" spans="1:12">
      <c r="A650" s="1"/>
      <c r="K650" s="1"/>
      <c r="L650" s="1"/>
    </row>
    <row r="651" spans="1:12">
      <c r="A651" s="1"/>
      <c r="K651" s="1"/>
      <c r="L651" s="1"/>
    </row>
    <row r="652" spans="1:12">
      <c r="A652" s="1"/>
      <c r="K652" s="1"/>
      <c r="L652" s="1"/>
    </row>
    <row r="653" spans="1:12">
      <c r="A653" s="1"/>
      <c r="K653" s="1"/>
      <c r="L653" s="1"/>
    </row>
    <row r="654" spans="1:12">
      <c r="A654" s="1"/>
      <c r="K654" s="1"/>
      <c r="L654" s="1"/>
    </row>
    <row r="655" spans="1:12">
      <c r="A655" s="1"/>
      <c r="K655" s="1"/>
      <c r="L655" s="1"/>
    </row>
    <row r="656" spans="1:12">
      <c r="A656" s="1"/>
      <c r="K656" s="1"/>
      <c r="L656" s="1"/>
    </row>
    <row r="657" spans="1:12">
      <c r="A657" s="1"/>
      <c r="K657" s="1"/>
      <c r="L657" s="1"/>
    </row>
    <row r="658" spans="1:12">
      <c r="A658" s="1"/>
      <c r="K658" s="1"/>
      <c r="L658" s="1"/>
    </row>
    <row r="659" spans="1:12">
      <c r="A659" s="1"/>
      <c r="K659" s="1"/>
      <c r="L659" s="1"/>
    </row>
    <row r="660" spans="1:12">
      <c r="A660" s="1"/>
      <c r="K660" s="1"/>
      <c r="L660" s="1"/>
    </row>
    <row r="661" spans="1:12">
      <c r="A661" s="1"/>
      <c r="K661" s="1"/>
      <c r="L661" s="1"/>
    </row>
    <row r="662" spans="1:12">
      <c r="A662" s="1"/>
      <c r="K662" s="1"/>
      <c r="L662" s="1"/>
    </row>
    <row r="663" spans="1:12">
      <c r="A663" s="1"/>
      <c r="K663" s="1"/>
      <c r="L663" s="1"/>
    </row>
    <row r="664" spans="1:12">
      <c r="A664" s="1"/>
      <c r="K664" s="1"/>
      <c r="L664" s="1"/>
    </row>
    <row r="665" spans="1:12">
      <c r="A665" s="1"/>
      <c r="K665" s="1"/>
      <c r="L665" s="1"/>
    </row>
    <row r="666" spans="1:12">
      <c r="A666" s="1"/>
      <c r="K666" s="1"/>
      <c r="L666" s="1"/>
    </row>
    <row r="667" spans="1:12">
      <c r="A667" s="1"/>
      <c r="K667" s="1"/>
      <c r="L667" s="1"/>
    </row>
    <row r="668" spans="1:12">
      <c r="A668" s="1"/>
      <c r="K668" s="1"/>
      <c r="L668" s="1"/>
    </row>
    <row r="669" spans="1:12">
      <c r="A669" s="1"/>
      <c r="K669" s="1"/>
      <c r="L669" s="1"/>
    </row>
    <row r="670" spans="1:12">
      <c r="A670" s="1"/>
      <c r="K670" s="1"/>
      <c r="L670" s="1"/>
    </row>
    <row r="671" spans="1:12">
      <c r="A671" s="1"/>
      <c r="K671" s="1"/>
      <c r="L671" s="1"/>
    </row>
    <row r="672" spans="1:12">
      <c r="A672" s="1"/>
      <c r="K672" s="1"/>
      <c r="L672" s="1"/>
    </row>
    <row r="673" spans="1:12">
      <c r="A673" s="1"/>
      <c r="K673" s="1"/>
      <c r="L673" s="1"/>
    </row>
    <row r="674" spans="1:12">
      <c r="A674" s="1"/>
      <c r="K674" s="1"/>
      <c r="L674" s="1"/>
    </row>
    <row r="675" spans="1:12">
      <c r="A675" s="1"/>
      <c r="K675" s="1"/>
      <c r="L675" s="1"/>
    </row>
    <row r="676" spans="1:12">
      <c r="A676" s="1"/>
      <c r="K676" s="1"/>
      <c r="L676" s="1"/>
    </row>
    <row r="677" spans="1:12">
      <c r="A677" s="1"/>
      <c r="K677" s="1"/>
      <c r="L677" s="1"/>
    </row>
    <row r="678" spans="1:12">
      <c r="A678" s="1"/>
      <c r="K678" s="1"/>
      <c r="L678" s="1"/>
    </row>
    <row r="679" spans="1:12">
      <c r="A679" s="1"/>
      <c r="K679" s="1"/>
      <c r="L679" s="1"/>
    </row>
    <row r="680" spans="1:12">
      <c r="A680" s="1"/>
      <c r="K680" s="1"/>
      <c r="L680" s="1"/>
    </row>
    <row r="681" spans="1:12">
      <c r="A681" s="1"/>
      <c r="K681" s="1"/>
      <c r="L681" s="1"/>
    </row>
    <row r="682" spans="1:12">
      <c r="A682" s="1"/>
      <c r="K682" s="1"/>
      <c r="L682" s="1"/>
    </row>
    <row r="683" spans="1:12">
      <c r="A683" s="1"/>
      <c r="K683" s="1"/>
      <c r="L683" s="1"/>
    </row>
    <row r="684" spans="1:12">
      <c r="A684" s="1"/>
      <c r="K684" s="1"/>
      <c r="L684" s="1"/>
    </row>
    <row r="685" spans="1:12">
      <c r="A685" s="1"/>
      <c r="K685" s="1"/>
      <c r="L685" s="1"/>
    </row>
    <row r="686" spans="1:12">
      <c r="A686" s="1"/>
      <c r="K686" s="1"/>
      <c r="L686" s="1"/>
    </row>
    <row r="687" spans="1:12">
      <c r="A687" s="1"/>
      <c r="K687" s="1"/>
      <c r="L687" s="1"/>
    </row>
    <row r="688" spans="1:12">
      <c r="A688" s="1"/>
      <c r="K688" s="1"/>
      <c r="L688" s="1"/>
    </row>
    <row r="689" spans="1:12">
      <c r="A689" s="1"/>
      <c r="K689" s="1"/>
      <c r="L689" s="1"/>
    </row>
    <row r="690" spans="1:12">
      <c r="A690" s="1"/>
      <c r="K690" s="1"/>
      <c r="L690" s="1"/>
    </row>
    <row r="691" spans="1:12">
      <c r="A691" s="1"/>
      <c r="K691" s="1"/>
      <c r="L691" s="1"/>
    </row>
    <row r="692" spans="1:12">
      <c r="A692" s="1"/>
      <c r="K692" s="1"/>
      <c r="L692" s="1"/>
    </row>
    <row r="693" spans="1:12">
      <c r="A693" s="1"/>
      <c r="K693" s="1"/>
      <c r="L693" s="1"/>
    </row>
    <row r="694" spans="1:12">
      <c r="A694" s="1"/>
      <c r="K694" s="1"/>
      <c r="L694" s="1"/>
    </row>
    <row r="695" spans="1:12">
      <c r="A695" s="1"/>
      <c r="K695" s="1"/>
      <c r="L695" s="1"/>
    </row>
    <row r="696" spans="1:12">
      <c r="A696" s="1"/>
      <c r="K696" s="1"/>
      <c r="L696" s="1"/>
    </row>
    <row r="697" spans="1:12">
      <c r="A697" s="1"/>
      <c r="K697" s="1"/>
      <c r="L697" s="1"/>
    </row>
    <row r="698" spans="1:12">
      <c r="A698" s="1"/>
      <c r="K698" s="1"/>
      <c r="L698" s="1"/>
    </row>
    <row r="699" spans="1:12">
      <c r="A699" s="1"/>
      <c r="K699" s="1"/>
      <c r="L699" s="1"/>
    </row>
    <row r="700" spans="1:12">
      <c r="A700" s="1"/>
      <c r="K700" s="1"/>
      <c r="L700" s="1"/>
    </row>
    <row r="701" spans="1:12">
      <c r="A701" s="1"/>
      <c r="K701" s="1"/>
      <c r="L701" s="1"/>
    </row>
    <row r="702" spans="1:12">
      <c r="A702" s="1"/>
      <c r="K702" s="1"/>
      <c r="L702" s="1"/>
    </row>
    <row r="703" spans="1:12">
      <c r="A703" s="1"/>
      <c r="K703" s="1"/>
      <c r="L703" s="1"/>
    </row>
    <row r="704" spans="1:12">
      <c r="A704" s="1"/>
      <c r="K704" s="1"/>
      <c r="L704" s="1"/>
    </row>
    <row r="705" spans="1:12">
      <c r="A705" s="1"/>
      <c r="K705" s="1"/>
      <c r="L705" s="1"/>
    </row>
    <row r="706" spans="1:12">
      <c r="A706" s="1"/>
      <c r="K706" s="1"/>
      <c r="L706" s="1"/>
    </row>
    <row r="707" spans="1:12">
      <c r="A707" s="1"/>
      <c r="K707" s="1"/>
      <c r="L707" s="1"/>
    </row>
    <row r="708" spans="1:12">
      <c r="A708" s="1"/>
      <c r="K708" s="1"/>
      <c r="L708" s="1"/>
    </row>
    <row r="709" spans="1:12">
      <c r="A709" s="1"/>
      <c r="K709" s="1"/>
      <c r="L709" s="1"/>
    </row>
    <row r="710" spans="1:12">
      <c r="A710" s="1"/>
      <c r="K710" s="1"/>
      <c r="L710" s="1"/>
    </row>
    <row r="711" spans="1:12">
      <c r="A711" s="1"/>
      <c r="K711" s="1"/>
      <c r="L711" s="1"/>
    </row>
    <row r="712" spans="1:12">
      <c r="A712" s="1"/>
      <c r="K712" s="1"/>
      <c r="L712" s="1"/>
    </row>
    <row r="713" spans="1:12">
      <c r="A713" s="1"/>
      <c r="K713" s="1"/>
      <c r="L713" s="1"/>
    </row>
    <row r="714" spans="1:12">
      <c r="A714" s="1"/>
      <c r="K714" s="1"/>
      <c r="L714" s="1"/>
    </row>
    <row r="715" spans="1:12">
      <c r="A715" s="1"/>
      <c r="K715" s="1"/>
      <c r="L715" s="1"/>
    </row>
    <row r="716" spans="1:12">
      <c r="A716" s="1"/>
      <c r="K716" s="1"/>
      <c r="L716" s="1"/>
    </row>
    <row r="717" spans="1:12">
      <c r="A717" s="1"/>
      <c r="K717" s="1"/>
      <c r="L717" s="1"/>
    </row>
    <row r="718" spans="1:12">
      <c r="A718" s="1"/>
      <c r="K718" s="1"/>
      <c r="L718" s="1"/>
    </row>
    <row r="719" spans="1:12">
      <c r="A719" s="1"/>
      <c r="K719" s="1"/>
      <c r="L719" s="1"/>
    </row>
    <row r="720" spans="1:12">
      <c r="A720" s="1"/>
      <c r="K720" s="1"/>
      <c r="L720" s="1"/>
    </row>
    <row r="721" spans="1:12">
      <c r="A721" s="1"/>
      <c r="K721" s="1"/>
      <c r="L721" s="1"/>
    </row>
    <row r="722" spans="1:12">
      <c r="A722" s="1"/>
      <c r="K722" s="1"/>
      <c r="L722" s="1"/>
    </row>
    <row r="723" spans="1:12">
      <c r="A723" s="1"/>
      <c r="K723" s="1"/>
      <c r="L723" s="1"/>
    </row>
    <row r="724" spans="1:12">
      <c r="A724" s="1"/>
      <c r="K724" s="1"/>
      <c r="L724" s="1"/>
    </row>
    <row r="725" spans="1:12">
      <c r="A725" s="1"/>
      <c r="K725" s="1"/>
      <c r="L725" s="1"/>
    </row>
    <row r="726" spans="1:12">
      <c r="A726" s="1"/>
      <c r="K726" s="1"/>
      <c r="L726" s="1"/>
    </row>
    <row r="727" spans="1:12">
      <c r="A727" s="1"/>
      <c r="K727" s="1"/>
      <c r="L727" s="1"/>
    </row>
    <row r="728" spans="1:12">
      <c r="A728" s="1"/>
      <c r="K728" s="1"/>
      <c r="L728" s="1"/>
    </row>
    <row r="729" spans="1:12">
      <c r="A729" s="1"/>
      <c r="K729" s="1"/>
      <c r="L729" s="1"/>
    </row>
    <row r="730" spans="1:12">
      <c r="A730" s="1"/>
      <c r="K730" s="1"/>
      <c r="L730" s="1"/>
    </row>
    <row r="731" spans="1:12">
      <c r="A731" s="1"/>
      <c r="K731" s="1"/>
      <c r="L731" s="1"/>
    </row>
    <row r="732" spans="1:12">
      <c r="A732" s="1"/>
      <c r="K732" s="1"/>
      <c r="L732" s="1"/>
    </row>
    <row r="733" spans="1:12">
      <c r="A733" s="1"/>
      <c r="K733" s="1"/>
      <c r="L733" s="1"/>
    </row>
    <row r="734" spans="1:12">
      <c r="A734" s="1"/>
      <c r="K734" s="1"/>
      <c r="L734" s="1"/>
    </row>
    <row r="735" spans="1:12">
      <c r="A735" s="1"/>
      <c r="K735" s="1"/>
      <c r="L735" s="1"/>
    </row>
    <row r="736" spans="1:12">
      <c r="A736" s="1"/>
      <c r="K736" s="1"/>
      <c r="L736" s="1"/>
    </row>
    <row r="737" spans="1:12">
      <c r="A737" s="1"/>
      <c r="K737" s="1"/>
      <c r="L737" s="1"/>
    </row>
    <row r="738" spans="1:12">
      <c r="A738" s="1"/>
      <c r="K738" s="1"/>
      <c r="L738" s="1"/>
    </row>
    <row r="739" spans="1:12">
      <c r="A739" s="1"/>
      <c r="K739" s="1"/>
      <c r="L739" s="1"/>
    </row>
    <row r="740" spans="1:12">
      <c r="A740" s="1"/>
      <c r="K740" s="1"/>
      <c r="L740" s="1"/>
    </row>
    <row r="741" spans="1:12">
      <c r="A741" s="1"/>
      <c r="K741" s="1"/>
      <c r="L741" s="1"/>
    </row>
    <row r="742" spans="1:12">
      <c r="A742" s="1"/>
      <c r="K742" s="1"/>
      <c r="L742" s="1"/>
    </row>
    <row r="743" spans="1:12">
      <c r="A743" s="1"/>
      <c r="K743" s="1"/>
      <c r="L743" s="1"/>
    </row>
    <row r="744" spans="1:12">
      <c r="A744" s="1"/>
      <c r="K744" s="1"/>
      <c r="L744" s="1"/>
    </row>
    <row r="745" spans="1:12">
      <c r="A745" s="1"/>
      <c r="K745" s="1"/>
      <c r="L745" s="1"/>
    </row>
    <row r="746" spans="1:12">
      <c r="A746" s="1"/>
      <c r="K746" s="1"/>
      <c r="L746" s="1"/>
    </row>
    <row r="747" spans="1:12">
      <c r="A747" s="1"/>
      <c r="K747" s="1"/>
      <c r="L747" s="1"/>
    </row>
    <row r="748" spans="1:12">
      <c r="A748" s="1"/>
      <c r="K748" s="1"/>
      <c r="L748" s="1"/>
    </row>
    <row r="749" spans="1:12">
      <c r="A749" s="1"/>
      <c r="K749" s="1"/>
      <c r="L749" s="1"/>
    </row>
    <row r="750" spans="1:12">
      <c r="A750" s="1"/>
      <c r="K750" s="1"/>
      <c r="L750" s="1"/>
    </row>
    <row r="751" spans="1:12">
      <c r="A751" s="1"/>
      <c r="K751" s="1"/>
      <c r="L751" s="1"/>
    </row>
    <row r="752" spans="1:12">
      <c r="A752" s="1"/>
      <c r="K752" s="1"/>
      <c r="L752" s="1"/>
    </row>
    <row r="753" spans="1:12">
      <c r="A753" s="1"/>
      <c r="K753" s="1"/>
      <c r="L753" s="1"/>
    </row>
    <row r="754" spans="1:12">
      <c r="A754" s="1"/>
      <c r="K754" s="1"/>
      <c r="L754" s="1"/>
    </row>
    <row r="755" spans="1:12">
      <c r="A755" s="1"/>
      <c r="K755" s="1"/>
      <c r="L755" s="1"/>
    </row>
    <row r="756" spans="1:12">
      <c r="A756" s="1"/>
      <c r="K756" s="1"/>
      <c r="L756" s="1"/>
    </row>
    <row r="757" spans="1:12">
      <c r="A757" s="1"/>
      <c r="K757" s="1"/>
      <c r="L757" s="1"/>
    </row>
    <row r="758" spans="1:12">
      <c r="A758" s="1"/>
      <c r="K758" s="1"/>
      <c r="L758" s="1"/>
    </row>
    <row r="759" spans="1:12">
      <c r="A759" s="1"/>
      <c r="K759" s="1"/>
      <c r="L759" s="1"/>
    </row>
    <row r="760" spans="1:12">
      <c r="A760" s="1"/>
      <c r="K760" s="1"/>
      <c r="L760" s="1"/>
    </row>
    <row r="761" spans="1:12">
      <c r="A761" s="1"/>
      <c r="K761" s="1"/>
      <c r="L761" s="1"/>
    </row>
    <row r="762" spans="1:12">
      <c r="A762" s="1"/>
      <c r="K762" s="1"/>
      <c r="L762" s="1"/>
    </row>
    <row r="763" spans="1:12">
      <c r="A763" s="1"/>
      <c r="K763" s="1"/>
      <c r="L763" s="1"/>
    </row>
    <row r="764" spans="1:12">
      <c r="A764" s="1"/>
      <c r="K764" s="1"/>
      <c r="L764" s="1"/>
    </row>
    <row r="765" spans="1:12">
      <c r="A765" s="1"/>
      <c r="K765" s="1"/>
      <c r="L765" s="1"/>
    </row>
    <row r="766" spans="1:12">
      <c r="A766" s="1"/>
      <c r="K766" s="1"/>
      <c r="L766" s="1"/>
    </row>
    <row r="767" spans="1:12">
      <c r="A767" s="1"/>
      <c r="K767" s="1"/>
      <c r="L767" s="1"/>
    </row>
    <row r="768" spans="1:12">
      <c r="A768" s="1"/>
      <c r="K768" s="1"/>
      <c r="L768" s="1"/>
    </row>
    <row r="769" spans="1:12">
      <c r="A769" s="1"/>
      <c r="K769" s="1"/>
      <c r="L769" s="1"/>
    </row>
    <row r="770" spans="1:12">
      <c r="A770" s="1"/>
      <c r="K770" s="1"/>
      <c r="L770" s="1"/>
    </row>
    <row r="771" spans="1:12">
      <c r="A771" s="1"/>
      <c r="K771" s="1"/>
      <c r="L771" s="1"/>
    </row>
    <row r="772" spans="1:12">
      <c r="A772" s="1"/>
      <c r="K772" s="1"/>
      <c r="L772" s="1"/>
    </row>
    <row r="773" spans="1:12">
      <c r="A773" s="1"/>
      <c r="K773" s="1"/>
      <c r="L773" s="1"/>
    </row>
    <row r="774" spans="1:12">
      <c r="A774" s="1"/>
      <c r="K774" s="1"/>
      <c r="L774" s="1"/>
    </row>
    <row r="775" spans="1:12">
      <c r="A775" s="1"/>
      <c r="K775" s="1"/>
      <c r="L775" s="1"/>
    </row>
    <row r="776" spans="1:12">
      <c r="A776" s="1"/>
      <c r="K776" s="1"/>
      <c r="L776" s="1"/>
    </row>
    <row r="777" spans="1:12">
      <c r="A777" s="1"/>
      <c r="K777" s="1"/>
      <c r="L777" s="1"/>
    </row>
    <row r="778" spans="1:12">
      <c r="A778" s="1"/>
      <c r="K778" s="1"/>
      <c r="L778" s="1"/>
    </row>
    <row r="779" spans="1:12">
      <c r="A779" s="1"/>
      <c r="K779" s="1"/>
      <c r="L779" s="1"/>
    </row>
    <row r="780" spans="1:12">
      <c r="A780" s="1"/>
      <c r="K780" s="1"/>
      <c r="L780" s="1"/>
    </row>
    <row r="781" spans="1:12">
      <c r="A781" s="1"/>
      <c r="K781" s="1"/>
      <c r="L781" s="1"/>
    </row>
    <row r="782" spans="1:12">
      <c r="A782" s="1"/>
      <c r="K782" s="1"/>
      <c r="L782" s="1"/>
    </row>
    <row r="783" spans="1:12">
      <c r="A783" s="1"/>
      <c r="K783" s="1"/>
      <c r="L783" s="1"/>
    </row>
    <row r="784" spans="1:12">
      <c r="A784" s="1"/>
      <c r="K784" s="1"/>
      <c r="L784" s="1"/>
    </row>
    <row r="785" spans="1:12">
      <c r="A785" s="1"/>
      <c r="K785" s="1"/>
      <c r="L785" s="1"/>
    </row>
    <row r="786" spans="1:12">
      <c r="A786" s="1"/>
      <c r="K786" s="1"/>
      <c r="L786" s="1"/>
    </row>
    <row r="787" spans="1:12">
      <c r="A787" s="1"/>
      <c r="K787" s="1"/>
      <c r="L787" s="1"/>
    </row>
    <row r="788" spans="1:12">
      <c r="A788" s="1"/>
      <c r="K788" s="1"/>
      <c r="L788" s="1"/>
    </row>
    <row r="789" spans="1:12">
      <c r="A789" s="1"/>
      <c r="K789" s="1"/>
      <c r="L789" s="1"/>
    </row>
    <row r="790" spans="1:12">
      <c r="A790" s="1"/>
      <c r="K790" s="1"/>
      <c r="L790" s="1"/>
    </row>
    <row r="791" spans="1:12">
      <c r="A791" s="1"/>
      <c r="K791" s="1"/>
      <c r="L791" s="1"/>
    </row>
    <row r="792" spans="1:12">
      <c r="A792" s="1"/>
      <c r="K792" s="1"/>
      <c r="L792" s="1"/>
    </row>
    <row r="793" spans="1:12">
      <c r="A793" s="1"/>
      <c r="K793" s="1"/>
      <c r="L793" s="1"/>
    </row>
    <row r="794" spans="1:12">
      <c r="A794" s="1"/>
      <c r="K794" s="1"/>
      <c r="L794" s="1"/>
    </row>
    <row r="795" spans="1:12">
      <c r="A795" s="1"/>
      <c r="K795" s="1"/>
      <c r="L795" s="1"/>
    </row>
    <row r="796" spans="1:12">
      <c r="A796" s="1"/>
      <c r="K796" s="1"/>
      <c r="L796" s="1"/>
    </row>
    <row r="797" spans="1:12">
      <c r="A797" s="1"/>
      <c r="K797" s="1"/>
      <c r="L797" s="1"/>
    </row>
    <row r="798" spans="1:12">
      <c r="A798" s="1"/>
      <c r="K798" s="1"/>
      <c r="L798" s="1"/>
    </row>
    <row r="799" spans="1:12">
      <c r="A799" s="1"/>
      <c r="K799" s="1"/>
      <c r="L799" s="1"/>
    </row>
    <row r="800" spans="1:12">
      <c r="A800" s="1"/>
      <c r="K800" s="1"/>
      <c r="L800" s="1"/>
    </row>
    <row r="801" spans="1:12">
      <c r="A801" s="1"/>
      <c r="K801" s="1"/>
      <c r="L801" s="1"/>
    </row>
    <row r="802" spans="1:12">
      <c r="A802" s="1"/>
      <c r="K802" s="1"/>
      <c r="L802" s="1"/>
    </row>
    <row r="803" spans="1:12">
      <c r="A803" s="1"/>
      <c r="K803" s="1"/>
      <c r="L803" s="1"/>
    </row>
    <row r="804" spans="1:12">
      <c r="A804" s="1"/>
      <c r="K804" s="1"/>
      <c r="L804" s="1"/>
    </row>
    <row r="805" spans="1:12">
      <c r="A805" s="1"/>
      <c r="K805" s="1"/>
      <c r="L805" s="1"/>
    </row>
    <row r="806" spans="1:12">
      <c r="A806" s="1"/>
      <c r="K806" s="1"/>
      <c r="L806" s="1"/>
    </row>
    <row r="807" spans="1:12">
      <c r="A807" s="1"/>
      <c r="K807" s="1"/>
      <c r="L807" s="1"/>
    </row>
    <row r="808" spans="1:12">
      <c r="A808" s="1"/>
      <c r="K808" s="1"/>
      <c r="L808" s="1"/>
    </row>
    <row r="809" spans="1:12">
      <c r="A809" s="1"/>
      <c r="K809" s="1"/>
      <c r="L809" s="1"/>
    </row>
    <row r="810" spans="1:12">
      <c r="A810" s="1"/>
      <c r="K810" s="1"/>
      <c r="L810" s="1"/>
    </row>
    <row r="811" spans="1:12">
      <c r="A811" s="1"/>
      <c r="K811" s="1"/>
      <c r="L811" s="1"/>
    </row>
    <row r="812" spans="1:12">
      <c r="A812" s="1"/>
      <c r="K812" s="1"/>
      <c r="L812" s="1"/>
    </row>
    <row r="813" spans="1:12">
      <c r="A813" s="1"/>
      <c r="K813" s="1"/>
      <c r="L813" s="1"/>
    </row>
    <row r="814" spans="1:12">
      <c r="A814" s="1"/>
      <c r="K814" s="1"/>
      <c r="L814" s="1"/>
    </row>
    <row r="815" spans="1:12">
      <c r="A815" s="1"/>
      <c r="K815" s="1"/>
      <c r="L815" s="1"/>
    </row>
    <row r="816" spans="1:12">
      <c r="A816" s="1"/>
      <c r="K816" s="1"/>
      <c r="L816" s="1"/>
    </row>
    <row r="817" spans="1:12">
      <c r="A817" s="1"/>
      <c r="K817" s="1"/>
      <c r="L817" s="1"/>
    </row>
    <row r="818" spans="1:12">
      <c r="A818" s="1"/>
      <c r="K818" s="1"/>
      <c r="L818" s="1"/>
    </row>
    <row r="819" spans="1:12">
      <c r="A819" s="1"/>
      <c r="K819" s="1"/>
      <c r="L819" s="1"/>
    </row>
    <row r="820" spans="1:12">
      <c r="A820" s="1"/>
      <c r="K820" s="1"/>
      <c r="L820" s="1"/>
    </row>
    <row r="821" spans="1:12">
      <c r="A821" s="1"/>
      <c r="K821" s="1"/>
      <c r="L821" s="1"/>
    </row>
    <row r="822" spans="1:12">
      <c r="A822" s="1"/>
      <c r="K822" s="1"/>
      <c r="L822" s="1"/>
    </row>
    <row r="823" spans="1:12">
      <c r="A823" s="1"/>
      <c r="K823" s="1"/>
      <c r="L823" s="1"/>
    </row>
    <row r="824" spans="1:12">
      <c r="A824" s="1"/>
      <c r="K824" s="1"/>
      <c r="L824" s="1"/>
    </row>
    <row r="825" spans="1:12">
      <c r="A825" s="1"/>
      <c r="K825" s="1"/>
      <c r="L825" s="1"/>
    </row>
    <row r="826" spans="1:12">
      <c r="A826" s="1"/>
      <c r="K826" s="1"/>
      <c r="L826" s="1"/>
    </row>
    <row r="827" spans="1:12">
      <c r="A827" s="1"/>
      <c r="K827" s="1"/>
      <c r="L827" s="1"/>
    </row>
    <row r="828" spans="1:12">
      <c r="A828" s="1"/>
      <c r="K828" s="1"/>
      <c r="L828" s="1"/>
    </row>
    <row r="829" spans="1:12">
      <c r="A829" s="1"/>
      <c r="K829" s="1"/>
      <c r="L829" s="1"/>
    </row>
    <row r="830" spans="1:12">
      <c r="A830" s="1"/>
      <c r="K830" s="1"/>
      <c r="L830" s="1"/>
    </row>
    <row r="831" spans="1:12">
      <c r="A831" s="1"/>
      <c r="K831" s="1"/>
      <c r="L831" s="1"/>
    </row>
    <row r="832" spans="1:12">
      <c r="A832" s="1"/>
      <c r="K832" s="1"/>
      <c r="L832" s="1"/>
    </row>
    <row r="833" spans="1:12">
      <c r="A833" s="1"/>
      <c r="K833" s="1"/>
      <c r="L833" s="1"/>
    </row>
    <row r="834" spans="1:12">
      <c r="A834" s="1"/>
      <c r="K834" s="1"/>
      <c r="L834" s="1"/>
    </row>
    <row r="835" spans="1:12">
      <c r="A835" s="1"/>
      <c r="K835" s="1"/>
      <c r="L835" s="1"/>
    </row>
    <row r="836" spans="1:12">
      <c r="A836" s="1"/>
      <c r="K836" s="1"/>
      <c r="L836" s="1"/>
    </row>
    <row r="837" spans="1:12">
      <c r="A837" s="1"/>
      <c r="K837" s="1"/>
      <c r="L837" s="1"/>
    </row>
    <row r="838" spans="1:12">
      <c r="A838" s="1"/>
      <c r="K838" s="1"/>
      <c r="L838" s="1"/>
    </row>
    <row r="839" spans="1:12">
      <c r="A839" s="1"/>
      <c r="K839" s="1"/>
      <c r="L839" s="1"/>
    </row>
    <row r="840" spans="1:12">
      <c r="A840" s="1"/>
      <c r="K840" s="1"/>
      <c r="L840" s="1"/>
    </row>
    <row r="841" spans="1:12">
      <c r="A841" s="1"/>
      <c r="K841" s="1"/>
      <c r="L841" s="1"/>
    </row>
    <row r="842" spans="1:12">
      <c r="A842" s="1"/>
      <c r="K842" s="1"/>
      <c r="L842" s="1"/>
    </row>
    <row r="843" spans="1:12">
      <c r="A843" s="1"/>
      <c r="K843" s="1"/>
      <c r="L843" s="1"/>
    </row>
    <row r="844" spans="1:12">
      <c r="A844" s="1"/>
      <c r="K844" s="1"/>
      <c r="L844" s="1"/>
    </row>
    <row r="845" spans="1:12">
      <c r="A845" s="1"/>
      <c r="K845" s="1"/>
      <c r="L845" s="1"/>
    </row>
    <row r="846" spans="1:12">
      <c r="A846" s="1"/>
      <c r="K846" s="1"/>
      <c r="L846" s="1"/>
    </row>
    <row r="847" spans="1:12">
      <c r="A847" s="1"/>
      <c r="K847" s="1"/>
      <c r="L847" s="1"/>
    </row>
    <row r="848" spans="1:12">
      <c r="A848" s="1"/>
      <c r="K848" s="1"/>
      <c r="L848" s="1"/>
    </row>
    <row r="849" spans="1:12">
      <c r="A849" s="1"/>
      <c r="K849" s="1"/>
      <c r="L849" s="1"/>
    </row>
    <row r="850" spans="1:12">
      <c r="A850" s="1"/>
      <c r="K850" s="1"/>
      <c r="L850" s="1"/>
    </row>
    <row r="851" spans="1:12">
      <c r="A851" s="1"/>
      <c r="K851" s="1"/>
      <c r="L851" s="1"/>
    </row>
    <row r="852" spans="1:12">
      <c r="A852" s="1"/>
      <c r="K852" s="1"/>
      <c r="L852" s="1"/>
    </row>
    <row r="853" spans="1:12">
      <c r="A853" s="1"/>
      <c r="K853" s="1"/>
      <c r="L853" s="1"/>
    </row>
    <row r="854" spans="1:12">
      <c r="A854" s="1"/>
      <c r="K854" s="1"/>
      <c r="L854" s="1"/>
    </row>
    <row r="855" spans="1:12">
      <c r="A855" s="1"/>
      <c r="K855" s="1"/>
      <c r="L855" s="1"/>
    </row>
    <row r="856" spans="1:12">
      <c r="A856" s="1"/>
      <c r="K856" s="1"/>
      <c r="L856" s="1"/>
    </row>
    <row r="857" spans="1:12">
      <c r="A857" s="1"/>
      <c r="K857" s="1"/>
      <c r="L857" s="1"/>
    </row>
    <row r="858" spans="1:12">
      <c r="A858" s="1"/>
      <c r="K858" s="1"/>
      <c r="L858" s="1"/>
    </row>
    <row r="859" spans="1:12">
      <c r="A859" s="1"/>
      <c r="K859" s="1"/>
      <c r="L859" s="1"/>
    </row>
    <row r="860" spans="1:12">
      <c r="A860" s="1"/>
      <c r="K860" s="1"/>
      <c r="L860" s="1"/>
    </row>
    <row r="861" spans="1:12">
      <c r="A861" s="1"/>
      <c r="K861" s="1"/>
      <c r="L861" s="1"/>
    </row>
    <row r="862" spans="1:12">
      <c r="A862" s="1"/>
      <c r="K862" s="1"/>
      <c r="L862" s="1"/>
    </row>
    <row r="863" spans="1:12">
      <c r="A863" s="1"/>
      <c r="K863" s="1"/>
      <c r="L863" s="1"/>
    </row>
    <row r="864" spans="1:12">
      <c r="A864" s="1"/>
      <c r="K864" s="1"/>
      <c r="L864" s="1"/>
    </row>
    <row r="865" spans="1:12">
      <c r="A865" s="1"/>
      <c r="K865" s="1"/>
      <c r="L865" s="1"/>
    </row>
    <row r="866" spans="1:12">
      <c r="A866" s="1"/>
      <c r="K866" s="1"/>
      <c r="L866" s="1"/>
    </row>
    <row r="867" spans="1:12">
      <c r="A867" s="1"/>
      <c r="K867" s="1"/>
      <c r="L867" s="1"/>
    </row>
    <row r="868" spans="1:12">
      <c r="A868" s="1"/>
      <c r="K868" s="1"/>
      <c r="L868" s="1"/>
    </row>
    <row r="869" spans="1:12">
      <c r="A869" s="1"/>
      <c r="K869" s="1"/>
      <c r="L869" s="1"/>
    </row>
    <row r="870" spans="1:12">
      <c r="A870" s="1"/>
      <c r="K870" s="1"/>
      <c r="L870" s="1"/>
    </row>
    <row r="871" spans="1:12">
      <c r="A871" s="1"/>
      <c r="K871" s="1"/>
      <c r="L871" s="1"/>
    </row>
    <row r="872" spans="1:12">
      <c r="A872" s="1"/>
      <c r="K872" s="1"/>
      <c r="L872" s="1"/>
    </row>
    <row r="873" spans="1:12">
      <c r="A873" s="1"/>
      <c r="K873" s="1"/>
      <c r="L873" s="1"/>
    </row>
    <row r="874" spans="1:12">
      <c r="A874" s="1"/>
      <c r="K874" s="1"/>
      <c r="L874" s="1"/>
    </row>
    <row r="875" spans="1:12">
      <c r="A875" s="1"/>
      <c r="K875" s="1"/>
      <c r="L875" s="1"/>
    </row>
    <row r="876" spans="1:12">
      <c r="A876" s="1"/>
      <c r="K876" s="1"/>
      <c r="L876" s="1"/>
    </row>
    <row r="877" spans="1:12">
      <c r="A877" s="1"/>
      <c r="K877" s="1"/>
      <c r="L877" s="1"/>
    </row>
    <row r="878" spans="1:12">
      <c r="A878" s="1"/>
      <c r="K878" s="1"/>
      <c r="L878" s="1"/>
    </row>
    <row r="879" spans="1:12">
      <c r="A879" s="1"/>
      <c r="K879" s="1"/>
      <c r="L879" s="1"/>
    </row>
    <row r="880" spans="1:12">
      <c r="A880" s="1"/>
      <c r="K880" s="1"/>
      <c r="L880" s="1"/>
    </row>
    <row r="881" spans="1:12">
      <c r="A881" s="1"/>
      <c r="K881" s="1"/>
      <c r="L881" s="1"/>
    </row>
    <row r="882" spans="1:12">
      <c r="A882" s="1"/>
      <c r="K882" s="1"/>
      <c r="L882" s="1"/>
    </row>
    <row r="883" spans="1:12">
      <c r="A883" s="1"/>
      <c r="K883" s="1"/>
      <c r="L883" s="1"/>
    </row>
    <row r="884" spans="1:12">
      <c r="A884" s="1"/>
      <c r="K884" s="1"/>
      <c r="L884" s="1"/>
    </row>
    <row r="885" spans="1:12">
      <c r="A885" s="1"/>
      <c r="K885" s="1"/>
      <c r="L885" s="1"/>
    </row>
    <row r="886" spans="1:12">
      <c r="A886" s="1"/>
      <c r="K886" s="1"/>
      <c r="L886" s="1"/>
    </row>
    <row r="887" spans="1:12">
      <c r="A887" s="1"/>
      <c r="K887" s="1"/>
      <c r="L887" s="1"/>
    </row>
    <row r="888" spans="1:12">
      <c r="A888" s="1"/>
      <c r="K888" s="1"/>
      <c r="L888" s="1"/>
    </row>
    <row r="889" spans="1:12">
      <c r="A889" s="1"/>
      <c r="K889" s="1"/>
      <c r="L889" s="1"/>
    </row>
    <row r="890" spans="1:12">
      <c r="A890" s="1"/>
      <c r="K890" s="1"/>
      <c r="L890" s="1"/>
    </row>
    <row r="891" spans="1:12">
      <c r="A891" s="1"/>
      <c r="K891" s="1"/>
      <c r="L891" s="1"/>
    </row>
    <row r="892" spans="1:12">
      <c r="A892" s="1"/>
      <c r="K892" s="1"/>
      <c r="L892" s="1"/>
    </row>
    <row r="893" spans="1:12">
      <c r="A893" s="1"/>
      <c r="K893" s="1"/>
      <c r="L893" s="1"/>
    </row>
    <row r="894" spans="1:12">
      <c r="A894" s="1"/>
      <c r="K894" s="1"/>
      <c r="L894" s="1"/>
    </row>
    <row r="895" spans="1:12">
      <c r="A895" s="1"/>
      <c r="K895" s="1"/>
      <c r="L895" s="1"/>
    </row>
    <row r="896" spans="1:12">
      <c r="A896" s="1"/>
      <c r="K896" s="1"/>
      <c r="L896" s="1"/>
    </row>
    <row r="897" spans="1:12">
      <c r="A897" s="1"/>
      <c r="K897" s="1"/>
      <c r="L897" s="1"/>
    </row>
    <row r="898" spans="1:12">
      <c r="A898" s="1"/>
      <c r="K898" s="1"/>
      <c r="L898" s="1"/>
    </row>
    <row r="899" spans="1:12">
      <c r="A899" s="1"/>
      <c r="K899" s="1"/>
      <c r="L899" s="1"/>
    </row>
    <row r="900" spans="1:12">
      <c r="A900" s="1"/>
      <c r="K900" s="1"/>
      <c r="L900" s="1"/>
    </row>
    <row r="901" spans="1:12">
      <c r="A901" s="1"/>
      <c r="K901" s="1"/>
      <c r="L901" s="1"/>
    </row>
    <row r="902" spans="1:12">
      <c r="A902" s="1"/>
      <c r="K902" s="1"/>
      <c r="L902" s="1"/>
    </row>
    <row r="903" spans="1:12">
      <c r="A903" s="1"/>
      <c r="K903" s="1"/>
      <c r="L903" s="1"/>
    </row>
    <row r="904" spans="1:12">
      <c r="A904" s="1"/>
      <c r="K904" s="1"/>
      <c r="L904" s="1"/>
    </row>
    <row r="905" spans="1:12">
      <c r="A905" s="1"/>
      <c r="K905" s="1"/>
      <c r="L905" s="1"/>
    </row>
    <row r="906" spans="1:12">
      <c r="A906" s="1"/>
      <c r="K906" s="1"/>
      <c r="L906" s="1"/>
    </row>
    <row r="907" spans="1:12">
      <c r="A907" s="1"/>
      <c r="K907" s="1"/>
      <c r="L907" s="1"/>
    </row>
    <row r="908" spans="1:12">
      <c r="A908" s="1"/>
      <c r="K908" s="1"/>
      <c r="L908" s="1"/>
    </row>
    <row r="909" spans="1:12">
      <c r="A909" s="1"/>
      <c r="K909" s="1"/>
      <c r="L909" s="1"/>
    </row>
    <row r="910" spans="1:12">
      <c r="A910" s="1"/>
      <c r="K910" s="1"/>
      <c r="L910" s="1"/>
    </row>
    <row r="911" spans="1:12">
      <c r="A911" s="1"/>
      <c r="K911" s="1"/>
      <c r="L911" s="1"/>
    </row>
    <row r="912" spans="1:12">
      <c r="A912" s="1"/>
      <c r="K912" s="1"/>
      <c r="L912" s="1"/>
    </row>
    <row r="913" spans="1:12">
      <c r="A913" s="1"/>
      <c r="K913" s="1"/>
      <c r="L913" s="1"/>
    </row>
    <row r="914" spans="1:12">
      <c r="A914" s="1"/>
      <c r="K914" s="1"/>
      <c r="L914" s="1"/>
    </row>
    <row r="915" spans="1:12">
      <c r="A915" s="1"/>
      <c r="K915" s="1"/>
      <c r="L915" s="1"/>
    </row>
    <row r="916" spans="1:12">
      <c r="A916" s="1"/>
      <c r="K916" s="1"/>
      <c r="L916" s="1"/>
    </row>
    <row r="917" spans="1:12">
      <c r="A917" s="1"/>
      <c r="K917" s="1"/>
      <c r="L917" s="1"/>
    </row>
    <row r="918" spans="1:12">
      <c r="A918" s="1"/>
      <c r="K918" s="1"/>
      <c r="L918" s="1"/>
    </row>
    <row r="919" spans="1:12">
      <c r="A919" s="1"/>
      <c r="K919" s="1"/>
      <c r="L919" s="1"/>
    </row>
    <row r="920" spans="1:12">
      <c r="A920" s="1"/>
      <c r="K920" s="1"/>
      <c r="L920" s="1"/>
    </row>
    <row r="921" spans="1:12">
      <c r="A921" s="1"/>
      <c r="K921" s="1"/>
      <c r="L921" s="1"/>
    </row>
    <row r="922" spans="1:12">
      <c r="A922" s="1"/>
      <c r="K922" s="1"/>
      <c r="L922" s="1"/>
    </row>
    <row r="923" spans="1:12">
      <c r="A923" s="1"/>
      <c r="K923" s="1"/>
      <c r="L923" s="1"/>
    </row>
    <row r="924" spans="1:12">
      <c r="A924" s="1"/>
      <c r="K924" s="1"/>
      <c r="L924" s="1"/>
    </row>
    <row r="925" spans="1:12">
      <c r="A925" s="1"/>
      <c r="K925" s="1"/>
      <c r="L925" s="1"/>
    </row>
    <row r="926" spans="1:12">
      <c r="A926" s="1"/>
      <c r="K926" s="1"/>
      <c r="L926" s="1"/>
    </row>
    <row r="927" spans="1:12">
      <c r="A927" s="1"/>
      <c r="K927" s="1"/>
      <c r="L927" s="1"/>
    </row>
    <row r="928" spans="1:12">
      <c r="A928" s="1"/>
      <c r="K928" s="1"/>
      <c r="L928" s="1"/>
    </row>
    <row r="929" spans="1:12">
      <c r="A929" s="1"/>
      <c r="K929" s="1"/>
      <c r="L929" s="1"/>
    </row>
    <row r="930" spans="1:12">
      <c r="A930" s="1"/>
      <c r="K930" s="1"/>
      <c r="L930" s="1"/>
    </row>
    <row r="931" spans="1:12">
      <c r="A931" s="1"/>
      <c r="K931" s="1"/>
      <c r="L931" s="1"/>
    </row>
    <row r="932" spans="1:12">
      <c r="A932" s="1"/>
      <c r="K932" s="1"/>
      <c r="L932" s="1"/>
    </row>
    <row r="933" spans="1:12">
      <c r="A933" s="1"/>
      <c r="K933" s="1"/>
      <c r="L933" s="1"/>
    </row>
    <row r="934" spans="1:12">
      <c r="A934" s="1"/>
      <c r="K934" s="1"/>
      <c r="L934" s="1"/>
    </row>
    <row r="935" spans="1:12">
      <c r="A935" s="1"/>
      <c r="K935" s="1"/>
      <c r="L935" s="1"/>
    </row>
    <row r="936" spans="1:12">
      <c r="A936" s="1"/>
      <c r="K936" s="1"/>
      <c r="L936" s="1"/>
    </row>
    <row r="937" spans="1:12">
      <c r="A937" s="1"/>
      <c r="K937" s="1"/>
      <c r="L937" s="1"/>
    </row>
    <row r="938" spans="1:12">
      <c r="A938" s="1"/>
      <c r="K938" s="1"/>
      <c r="L938" s="1"/>
    </row>
    <row r="939" spans="1:12">
      <c r="A939" s="1"/>
      <c r="K939" s="1"/>
      <c r="L939" s="1"/>
    </row>
    <row r="940" spans="1:12">
      <c r="A940" s="1"/>
      <c r="K940" s="1"/>
      <c r="L940" s="1"/>
    </row>
    <row r="941" spans="1:12">
      <c r="A941" s="1"/>
      <c r="K941" s="1"/>
      <c r="L941" s="1"/>
    </row>
    <row r="942" spans="1:12">
      <c r="A942" s="1"/>
      <c r="K942" s="1"/>
      <c r="L942" s="1"/>
    </row>
    <row r="943" spans="1:12">
      <c r="A943" s="1"/>
      <c r="K943" s="1"/>
      <c r="L943" s="1"/>
    </row>
    <row r="944" spans="1:12">
      <c r="A944" s="1"/>
      <c r="K944" s="1"/>
      <c r="L944" s="1"/>
    </row>
    <row r="945" spans="1:12">
      <c r="A945" s="1"/>
      <c r="K945" s="1"/>
      <c r="L945" s="1"/>
    </row>
    <row r="946" spans="1:12">
      <c r="A946" s="1"/>
      <c r="K946" s="1"/>
      <c r="L946" s="1"/>
    </row>
    <row r="947" spans="1:12">
      <c r="A947" s="1"/>
      <c r="K947" s="1"/>
      <c r="L947" s="1"/>
    </row>
    <row r="948" spans="1:12">
      <c r="A948" s="1"/>
      <c r="K948" s="1"/>
      <c r="L948" s="1"/>
    </row>
    <row r="949" spans="1:12">
      <c r="A949" s="1"/>
      <c r="K949" s="1"/>
      <c r="L949" s="1"/>
    </row>
    <row r="950" spans="1:12">
      <c r="A950" s="1"/>
      <c r="K950" s="1"/>
      <c r="L950" s="1"/>
    </row>
    <row r="951" spans="1:12">
      <c r="A951" s="1"/>
      <c r="K951" s="1"/>
      <c r="L951" s="1"/>
    </row>
    <row r="952" spans="1:12">
      <c r="A952" s="1"/>
      <c r="K952" s="1"/>
      <c r="L952" s="1"/>
    </row>
    <row r="953" spans="1:12">
      <c r="A953" s="1"/>
      <c r="K953" s="1"/>
      <c r="L953" s="1"/>
    </row>
    <row r="954" spans="1:12">
      <c r="A954" s="1"/>
      <c r="K954" s="1"/>
      <c r="L954" s="1"/>
    </row>
    <row r="955" spans="1:12">
      <c r="A955" s="1"/>
      <c r="K955" s="1"/>
      <c r="L955" s="1"/>
    </row>
    <row r="956" spans="1:12">
      <c r="A956" s="1"/>
      <c r="K956" s="1"/>
      <c r="L956" s="1"/>
    </row>
    <row r="957" spans="1:12">
      <c r="A957" s="1"/>
      <c r="K957" s="1"/>
      <c r="L957" s="1"/>
    </row>
    <row r="958" spans="1:12">
      <c r="A958" s="1"/>
      <c r="K958" s="1"/>
      <c r="L958" s="1"/>
    </row>
    <row r="959" spans="1:12">
      <c r="A959" s="1"/>
      <c r="K959" s="1"/>
      <c r="L959" s="1"/>
    </row>
    <row r="960" spans="1:12">
      <c r="A960" s="1"/>
      <c r="K960" s="1"/>
      <c r="L960" s="1"/>
    </row>
    <row r="961" spans="1:12">
      <c r="A961" s="1"/>
      <c r="K961" s="1"/>
      <c r="L961" s="1"/>
    </row>
    <row r="962" spans="1:12">
      <c r="A962" s="1"/>
      <c r="K962" s="1"/>
      <c r="L962" s="1"/>
    </row>
    <row r="963" spans="1:12">
      <c r="A963" s="1"/>
      <c r="K963" s="1"/>
      <c r="L963" s="1"/>
    </row>
    <row r="964" spans="1:12">
      <c r="A964" s="1"/>
      <c r="K964" s="1"/>
      <c r="L964" s="1"/>
    </row>
    <row r="965" spans="1:12">
      <c r="A965" s="1"/>
      <c r="K965" s="1"/>
      <c r="L965" s="1"/>
    </row>
    <row r="966" spans="1:12">
      <c r="A966" s="1"/>
      <c r="K966" s="1"/>
      <c r="L966" s="1"/>
    </row>
    <row r="967" spans="1:12">
      <c r="A967" s="1"/>
      <c r="K967" s="1"/>
      <c r="L967" s="1"/>
    </row>
    <row r="968" spans="1:12">
      <c r="A968" s="1"/>
      <c r="K968" s="1"/>
      <c r="L968" s="1"/>
    </row>
    <row r="969" spans="1:12">
      <c r="A969" s="1"/>
      <c r="K969" s="1"/>
      <c r="L969" s="1"/>
    </row>
    <row r="970" spans="1:12">
      <c r="A970" s="1"/>
      <c r="K970" s="1"/>
      <c r="L970" s="1"/>
    </row>
    <row r="971" spans="1:12">
      <c r="A971" s="1"/>
      <c r="K971" s="1"/>
      <c r="L971" s="1"/>
    </row>
    <row r="972" spans="1:12">
      <c r="A972" s="1"/>
      <c r="K972" s="1"/>
      <c r="L972" s="1"/>
    </row>
    <row r="973" spans="1:12">
      <c r="A973" s="1"/>
      <c r="K973" s="1"/>
      <c r="L973" s="1"/>
    </row>
    <row r="974" spans="1:12">
      <c r="A974" s="1"/>
      <c r="K974" s="1"/>
      <c r="L974" s="1"/>
    </row>
    <row r="975" spans="1:12">
      <c r="A975" s="1"/>
      <c r="K975" s="1"/>
      <c r="L975" s="1"/>
    </row>
    <row r="976" spans="1:12">
      <c r="A976" s="1"/>
      <c r="K976" s="1"/>
      <c r="L976" s="1"/>
    </row>
    <row r="977" spans="1:12">
      <c r="A977" s="1"/>
      <c r="K977" s="1"/>
      <c r="L977" s="1"/>
    </row>
    <row r="978" spans="1:12">
      <c r="A978" s="1"/>
      <c r="K978" s="1"/>
      <c r="L978" s="1"/>
    </row>
    <row r="979" spans="1:12">
      <c r="A979" s="1"/>
      <c r="K979" s="1"/>
      <c r="L979" s="1"/>
    </row>
    <row r="980" spans="1:12">
      <c r="A980" s="1"/>
      <c r="K980" s="1"/>
      <c r="L980" s="1"/>
    </row>
    <row r="981" spans="1:12">
      <c r="A981" s="1"/>
      <c r="K981" s="1"/>
      <c r="L981" s="1"/>
    </row>
    <row r="982" spans="1:12">
      <c r="A982" s="1"/>
      <c r="K982" s="1"/>
      <c r="L982" s="1"/>
    </row>
    <row r="983" spans="1:12">
      <c r="A983" s="1"/>
      <c r="K983" s="1"/>
      <c r="L983" s="1"/>
    </row>
    <row r="984" spans="1:12">
      <c r="A984" s="1"/>
      <c r="K984" s="1"/>
      <c r="L984" s="1"/>
    </row>
    <row r="985" spans="1:12">
      <c r="A985" s="1"/>
      <c r="K985" s="1"/>
      <c r="L985" s="1"/>
    </row>
    <row r="986" spans="1:12">
      <c r="A986" s="1"/>
      <c r="K986" s="1"/>
      <c r="L986" s="1"/>
    </row>
    <row r="987" spans="1:12">
      <c r="A987" s="1"/>
      <c r="K987" s="1"/>
      <c r="L987" s="1"/>
    </row>
    <row r="988" spans="1:12">
      <c r="A988" s="1"/>
      <c r="K988" s="1"/>
      <c r="L988" s="1"/>
    </row>
    <row r="989" spans="1:12">
      <c r="A989" s="1"/>
      <c r="K989" s="1"/>
      <c r="L989" s="1"/>
    </row>
    <row r="990" spans="1:12">
      <c r="A990" s="1"/>
      <c r="K990" s="1"/>
      <c r="L990" s="1"/>
    </row>
    <row r="991" spans="1:12">
      <c r="A991" s="1"/>
      <c r="K991" s="1"/>
      <c r="L991" s="1"/>
    </row>
    <row r="992" spans="1:12">
      <c r="A992" s="1"/>
      <c r="K992" s="1"/>
      <c r="L992" s="1"/>
    </row>
    <row r="993" spans="1:12">
      <c r="A993" s="1"/>
      <c r="K993" s="1"/>
      <c r="L993" s="1"/>
    </row>
    <row r="994" spans="1:12">
      <c r="A994" s="1"/>
      <c r="K994" s="1"/>
      <c r="L994" s="1"/>
    </row>
    <row r="995" spans="1:12">
      <c r="A995" s="1"/>
      <c r="K995" s="1"/>
      <c r="L995" s="1"/>
    </row>
    <row r="996" spans="1:12">
      <c r="A996" s="1"/>
      <c r="K996" s="1"/>
      <c r="L996" s="1"/>
    </row>
    <row r="997" spans="1:12">
      <c r="A997" s="1"/>
      <c r="K997" s="1"/>
      <c r="L997" s="1"/>
    </row>
    <row r="998" spans="1:12">
      <c r="A998" s="1"/>
      <c r="K998" s="1"/>
      <c r="L998" s="1"/>
    </row>
    <row r="999" spans="1:12">
      <c r="A999" s="1"/>
      <c r="K999" s="1"/>
      <c r="L999" s="1"/>
    </row>
    <row r="1000" spans="1:12">
      <c r="A1000" s="1"/>
      <c r="K1000" s="1"/>
      <c r="L1000" s="1"/>
    </row>
    <row r="1001" spans="1:12">
      <c r="A1001" s="1"/>
      <c r="K1001" s="1"/>
      <c r="L1001" s="1"/>
    </row>
    <row r="1002" spans="1:12">
      <c r="A1002" s="1"/>
      <c r="K1002" s="1"/>
      <c r="L1002" s="1"/>
    </row>
    <row r="1003" spans="1:12">
      <c r="A1003" s="1"/>
      <c r="K1003" s="1"/>
      <c r="L1003" s="1"/>
    </row>
    <row r="1004" spans="1:12">
      <c r="A1004" s="1"/>
      <c r="K1004" s="1"/>
      <c r="L1004" s="1"/>
    </row>
    <row r="1005" spans="1:12">
      <c r="A1005" s="1"/>
      <c r="K1005" s="1"/>
      <c r="L1005" s="1"/>
    </row>
    <row r="1006" spans="1:12">
      <c r="A1006" s="1"/>
      <c r="K1006" s="1"/>
      <c r="L1006" s="1"/>
    </row>
    <row r="1007" spans="1:12">
      <c r="A1007" s="1"/>
      <c r="K1007" s="1"/>
      <c r="L1007" s="1"/>
    </row>
    <row r="1008" spans="1:12">
      <c r="A1008" s="1"/>
      <c r="K1008" s="1"/>
      <c r="L1008" s="1"/>
    </row>
    <row r="1009" spans="1:12">
      <c r="A1009" s="1"/>
      <c r="K1009" s="1"/>
      <c r="L1009" s="1"/>
    </row>
    <row r="1010" spans="1:12">
      <c r="A1010" s="1"/>
      <c r="K1010" s="1"/>
      <c r="L1010" s="1"/>
    </row>
    <row r="1011" spans="1:12">
      <c r="A1011" s="1"/>
      <c r="K1011" s="1"/>
      <c r="L1011" s="1"/>
    </row>
    <row r="1012" spans="1:12">
      <c r="A1012" s="1"/>
      <c r="K1012" s="1"/>
      <c r="L1012" s="1"/>
    </row>
    <row r="1013" spans="1:12">
      <c r="A1013" s="1"/>
      <c r="K1013" s="1"/>
      <c r="L1013" s="1"/>
    </row>
    <row r="1014" spans="1:12">
      <c r="A1014" s="1"/>
      <c r="K1014" s="1"/>
      <c r="L1014" s="1"/>
    </row>
    <row r="1015" spans="1:12">
      <c r="A1015" s="1"/>
      <c r="K1015" s="1"/>
      <c r="L1015" s="1"/>
    </row>
    <row r="1016" spans="1:12">
      <c r="A1016" s="1"/>
      <c r="K1016" s="1"/>
      <c r="L1016" s="1"/>
    </row>
    <row r="1017" spans="1:12">
      <c r="A1017" s="1"/>
      <c r="K1017" s="1"/>
      <c r="L1017" s="1"/>
    </row>
    <row r="1018" spans="1:12">
      <c r="A1018" s="1"/>
      <c r="K1018" s="1"/>
      <c r="L1018" s="1"/>
    </row>
    <row r="1019" spans="1:12">
      <c r="A1019" s="1"/>
      <c r="K1019" s="1"/>
      <c r="L1019" s="1"/>
    </row>
    <row r="1020" spans="1:12">
      <c r="A1020" s="1"/>
      <c r="K1020" s="1"/>
      <c r="L1020" s="1"/>
    </row>
    <row r="1021" spans="1:12">
      <c r="A1021" s="1"/>
      <c r="K1021" s="1"/>
      <c r="L1021" s="1"/>
    </row>
    <row r="1022" spans="1:12">
      <c r="A1022" s="1"/>
      <c r="K1022" s="1"/>
      <c r="L1022" s="1"/>
    </row>
    <row r="1023" spans="1:12">
      <c r="A1023" s="1"/>
      <c r="K1023" s="1"/>
      <c r="L1023" s="1"/>
    </row>
    <row r="1024" spans="1:12">
      <c r="A1024" s="1"/>
      <c r="K1024" s="1"/>
      <c r="L1024" s="1"/>
    </row>
    <row r="1025" spans="1:12">
      <c r="A1025" s="1"/>
      <c r="K1025" s="1"/>
      <c r="L1025" s="1"/>
    </row>
    <row r="1026" spans="1:12">
      <c r="A1026" s="1"/>
      <c r="K1026" s="1"/>
      <c r="L1026" s="1"/>
    </row>
    <row r="1027" spans="1:12">
      <c r="A1027" s="1"/>
      <c r="K1027" s="1"/>
      <c r="L1027" s="1"/>
    </row>
    <row r="1028" spans="1:12">
      <c r="A1028" s="1"/>
      <c r="K1028" s="1"/>
      <c r="L1028" s="1"/>
    </row>
    <row r="1029" spans="1:12">
      <c r="A1029" s="1"/>
      <c r="K1029" s="1"/>
      <c r="L1029" s="1"/>
    </row>
    <row r="1030" spans="1:12">
      <c r="A1030" s="1"/>
      <c r="K1030" s="1"/>
      <c r="L1030" s="1"/>
    </row>
    <row r="1031" spans="1:12">
      <c r="A1031" s="1"/>
      <c r="K1031" s="1"/>
      <c r="L1031" s="1"/>
    </row>
    <row r="1032" spans="1:12">
      <c r="A1032" s="1"/>
      <c r="K1032" s="1"/>
      <c r="L1032" s="1"/>
    </row>
    <row r="1033" spans="1:12">
      <c r="A1033" s="1"/>
      <c r="K1033" s="1"/>
      <c r="L1033" s="1"/>
    </row>
    <row r="1034" spans="1:12">
      <c r="A1034" s="1"/>
      <c r="K1034" s="1"/>
      <c r="L1034" s="1"/>
    </row>
    <row r="1035" spans="1:12">
      <c r="A1035" s="1"/>
      <c r="K1035" s="1"/>
      <c r="L1035" s="1"/>
    </row>
    <row r="1036" spans="1:12">
      <c r="A1036" s="1"/>
      <c r="K1036" s="1"/>
      <c r="L1036" s="1"/>
    </row>
    <row r="1037" spans="1:12">
      <c r="A1037" s="1"/>
      <c r="K1037" s="1"/>
      <c r="L1037" s="1"/>
    </row>
    <row r="1038" spans="1:12">
      <c r="A1038" s="1"/>
      <c r="K1038" s="1"/>
      <c r="L1038" s="1"/>
    </row>
    <row r="1039" spans="1:12">
      <c r="A1039" s="1"/>
      <c r="K1039" s="1"/>
      <c r="L1039" s="1"/>
    </row>
    <row r="1040" spans="1:12">
      <c r="A1040" s="1"/>
      <c r="K1040" s="1"/>
      <c r="L1040" s="1"/>
    </row>
    <row r="1041" spans="1:12">
      <c r="A1041" s="1"/>
      <c r="K1041" s="1"/>
      <c r="L1041" s="1"/>
    </row>
    <row r="1042" spans="1:12">
      <c r="A1042" s="1"/>
      <c r="K1042" s="1"/>
      <c r="L1042" s="1"/>
    </row>
    <row r="1043" spans="1:12">
      <c r="A1043" s="1"/>
      <c r="K1043" s="1"/>
      <c r="L1043" s="1"/>
    </row>
    <row r="1044" spans="1:12">
      <c r="A1044" s="1"/>
      <c r="K1044" s="1"/>
      <c r="L1044" s="1"/>
    </row>
    <row r="1045" spans="1:12">
      <c r="A1045" s="1"/>
      <c r="K1045" s="1"/>
      <c r="L1045" s="1"/>
    </row>
    <row r="1046" spans="1:12">
      <c r="A1046" s="1"/>
      <c r="K1046" s="1"/>
      <c r="L1046" s="1"/>
    </row>
    <row r="1047" spans="1:12">
      <c r="A1047" s="1"/>
      <c r="K1047" s="1"/>
      <c r="L1047" s="1"/>
    </row>
    <row r="1048" spans="1:12">
      <c r="A1048" s="1"/>
      <c r="K1048" s="1"/>
      <c r="L1048" s="1"/>
    </row>
    <row r="1049" spans="1:12">
      <c r="A1049" s="1"/>
      <c r="K1049" s="1"/>
      <c r="L1049" s="1"/>
    </row>
    <row r="1050" spans="1:12">
      <c r="A1050" s="1"/>
      <c r="K1050" s="1"/>
      <c r="L1050" s="1"/>
    </row>
    <row r="1051" spans="1:12">
      <c r="A1051" s="1"/>
      <c r="K1051" s="1"/>
      <c r="L1051" s="1"/>
    </row>
    <row r="1052" spans="1:12">
      <c r="A1052" s="1"/>
      <c r="K1052" s="1"/>
      <c r="L1052" s="1"/>
    </row>
    <row r="1053" spans="1:12">
      <c r="A1053" s="1"/>
      <c r="K1053" s="1"/>
      <c r="L1053" s="1"/>
    </row>
    <row r="1054" spans="1:12">
      <c r="A1054" s="1"/>
      <c r="K1054" s="1"/>
      <c r="L1054" s="1"/>
    </row>
    <row r="1055" spans="1:12">
      <c r="A1055" s="1"/>
      <c r="K1055" s="1"/>
      <c r="L1055" s="1"/>
    </row>
    <row r="1056" spans="1:12">
      <c r="A1056" s="1"/>
      <c r="K1056" s="1"/>
      <c r="L1056" s="1"/>
    </row>
    <row r="1057" spans="1:12">
      <c r="A1057" s="1"/>
      <c r="K1057" s="1"/>
      <c r="L1057" s="1"/>
    </row>
    <row r="1058" spans="1:12">
      <c r="A1058" s="1"/>
      <c r="K1058" s="1"/>
      <c r="L1058" s="1"/>
    </row>
    <row r="1059" spans="1:12">
      <c r="A1059" s="1"/>
      <c r="K1059" s="1"/>
      <c r="L1059" s="1"/>
    </row>
    <row r="1060" spans="1:12">
      <c r="A1060" s="1"/>
      <c r="K1060" s="1"/>
      <c r="L1060" s="1"/>
    </row>
    <row r="1061" spans="1:12">
      <c r="A1061" s="1"/>
      <c r="K1061" s="1"/>
      <c r="L1061" s="1"/>
    </row>
    <row r="1062" spans="1:12">
      <c r="A1062" s="1"/>
      <c r="K1062" s="1"/>
      <c r="L1062" s="1"/>
    </row>
    <row r="1063" spans="1:12">
      <c r="A1063" s="1"/>
      <c r="K1063" s="1"/>
      <c r="L1063" s="1"/>
    </row>
    <row r="1064" spans="1:12">
      <c r="A1064" s="1"/>
      <c r="K1064" s="1"/>
      <c r="L1064" s="1"/>
    </row>
    <row r="1065" spans="1:12">
      <c r="A1065" s="1"/>
      <c r="K1065" s="1"/>
      <c r="L1065" s="1"/>
    </row>
    <row r="1066" spans="1:12">
      <c r="A1066" s="1"/>
      <c r="K1066" s="1"/>
      <c r="L1066" s="1"/>
    </row>
    <row r="1067" spans="1:12">
      <c r="A1067" s="1"/>
      <c r="K1067" s="1"/>
      <c r="L1067" s="1"/>
    </row>
    <row r="1068" spans="1:12">
      <c r="A1068" s="1"/>
      <c r="K1068" s="1"/>
      <c r="L1068" s="1"/>
    </row>
    <row r="1069" spans="1:12">
      <c r="A1069" s="1"/>
      <c r="K1069" s="1"/>
      <c r="L1069" s="1"/>
    </row>
    <row r="1070" spans="1:12">
      <c r="A1070" s="1"/>
      <c r="K1070" s="1"/>
      <c r="L1070" s="1"/>
    </row>
    <row r="1071" spans="1:12">
      <c r="A1071" s="1"/>
      <c r="K1071" s="1"/>
      <c r="L1071" s="1"/>
    </row>
    <row r="1072" spans="1:12">
      <c r="A1072" s="1"/>
      <c r="K1072" s="1"/>
      <c r="L1072" s="1"/>
    </row>
    <row r="1073" spans="1:12">
      <c r="A1073" s="1"/>
      <c r="K1073" s="1"/>
      <c r="L1073" s="1"/>
    </row>
    <row r="1074" spans="1:12">
      <c r="A1074" s="1"/>
      <c r="K1074" s="1"/>
      <c r="L1074" s="1"/>
    </row>
    <row r="1075" spans="1:12">
      <c r="A1075" s="1"/>
      <c r="K1075" s="1"/>
      <c r="L1075" s="1"/>
    </row>
    <row r="1076" spans="1:12">
      <c r="A1076" s="1"/>
      <c r="K1076" s="1"/>
      <c r="L1076" s="1"/>
    </row>
    <row r="1077" spans="1:12">
      <c r="A1077" s="1"/>
      <c r="K1077" s="1"/>
      <c r="L1077" s="1"/>
    </row>
    <row r="1078" spans="1:12">
      <c r="A1078" s="166"/>
      <c r="K1078" s="1"/>
      <c r="L1078" s="1"/>
    </row>
    <row r="1079" spans="1:12">
      <c r="A1079" s="166"/>
      <c r="K1079" s="1"/>
      <c r="L1079" s="1"/>
    </row>
    <row r="1080" spans="1:12">
      <c r="A1080" s="166"/>
      <c r="K1080" s="1"/>
      <c r="L1080" s="1"/>
    </row>
    <row r="1081" spans="1:12">
      <c r="A1081" s="166"/>
      <c r="K1081" s="1"/>
      <c r="L1081" s="1"/>
    </row>
    <row r="1082" spans="1:12">
      <c r="A1082" s="166"/>
      <c r="K1082" s="1"/>
      <c r="L1082" s="1"/>
    </row>
    <row r="1083" spans="1:12">
      <c r="A1083" s="166"/>
      <c r="K1083" s="1"/>
      <c r="L1083" s="1"/>
    </row>
    <row r="1084" spans="1:12">
      <c r="A1084" s="166"/>
      <c r="K1084" s="1"/>
      <c r="L1084" s="1"/>
    </row>
    <row r="1085" spans="1:12">
      <c r="A1085" s="166"/>
      <c r="K1085" s="1"/>
      <c r="L1085" s="1"/>
    </row>
    <row r="1086" spans="1:12">
      <c r="A1086" s="166"/>
      <c r="K1086" s="1"/>
      <c r="L1086" s="1"/>
    </row>
    <row r="1087" spans="1:12">
      <c r="A1087" s="166"/>
      <c r="K1087" s="1"/>
      <c r="L1087" s="1"/>
    </row>
    <row r="1088" spans="1:12">
      <c r="A1088" s="166"/>
      <c r="K1088" s="1"/>
      <c r="L1088" s="1"/>
    </row>
    <row r="1089" spans="1:12">
      <c r="A1089" s="166"/>
      <c r="K1089" s="1"/>
      <c r="L1089" s="1"/>
    </row>
    <row r="1090" spans="1:12">
      <c r="A1090" s="166"/>
      <c r="K1090" s="1"/>
      <c r="L1090" s="1"/>
    </row>
    <row r="1091" spans="1:12">
      <c r="A1091" s="166"/>
      <c r="K1091" s="1"/>
      <c r="L1091" s="1"/>
    </row>
    <row r="1092" spans="1:12">
      <c r="A1092" s="166"/>
      <c r="K1092" s="1"/>
      <c r="L1092" s="1"/>
    </row>
    <row r="1093" spans="1:12">
      <c r="A1093" s="166"/>
      <c r="K1093" s="1"/>
      <c r="L1093" s="1"/>
    </row>
  </sheetData>
  <sheetProtection formatColumns="0" formatRows="0" sort="0" autoFilter="0"/>
  <mergeCells count="1">
    <mergeCell ref="B1:I1"/>
  </mergeCells>
  <phoneticPr fontId="19" type="noConversion"/>
  <conditionalFormatting sqref="A3 C3 F3:G3 J3 G4:G62">
    <cfRule type="expression" dxfId="14" priority="11">
      <formula>FIND("FAUX",#REF!)</formula>
    </cfRule>
    <cfRule type="expression" dxfId="13" priority="12">
      <formula>FIND("VRAI",#REF!)</formula>
    </cfRule>
  </conditionalFormatting>
  <conditionalFormatting sqref="H3:H62">
    <cfRule type="expression" dxfId="12" priority="3">
      <formula>FIND("FAUX",#REF!)</formula>
    </cfRule>
    <cfRule type="expression" dxfId="11" priority="4">
      <formula>FIND("VRAI",#REF!)</formula>
    </cfRule>
  </conditionalFormatting>
  <pageMargins left="0.7" right="0.7" top="0.75" bottom="0.75" header="0.3" footer="0.3"/>
  <pageSetup paperSize="9" scale="42" fitToHeight="0"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2CEA38F-DF28-4A29-A735-DCBA72E7BDC0}">
          <x14:formula1>
            <xm:f>Paramètres!$A$19:$A$21</xm:f>
          </x14:formula1>
          <xm:sqref>H3:H49 H51:H62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5767-D78F-413F-BCBD-4D7CAD833C40}">
  <sheetPr>
    <pageSetUpPr fitToPage="1"/>
  </sheetPr>
  <dimension ref="A1:K587"/>
  <sheetViews>
    <sheetView showGridLines="0" tabSelected="1" topLeftCell="A258" zoomScale="51" zoomScaleNormal="100" workbookViewId="0">
      <selection activeCell="A274" sqref="A274:XFD355"/>
    </sheetView>
  </sheetViews>
  <sheetFormatPr baseColWidth="10" defaultColWidth="0" defaultRowHeight="14.5"/>
  <cols>
    <col min="1" max="1" width="6" customWidth="1"/>
    <col min="2" max="2" width="12.453125" customWidth="1"/>
    <col min="3" max="3" width="47.453125" style="40" customWidth="1"/>
    <col min="4" max="4" width="63.81640625" style="40" hidden="1" customWidth="1"/>
    <col min="5" max="5" width="47.453125" customWidth="1"/>
    <col min="6" max="6" width="42.453125" customWidth="1"/>
    <col min="7" max="7" width="50.54296875" style="25" customWidth="1"/>
    <col min="8" max="8" width="30.54296875" customWidth="1"/>
    <col min="9" max="9" width="39.453125" customWidth="1"/>
    <col min="10" max="10" width="10.54296875" customWidth="1"/>
    <col min="11" max="11" width="31.54296875" hidden="1" customWidth="1"/>
    <col min="12" max="16384" width="10.54296875" hidden="1"/>
  </cols>
  <sheetData>
    <row r="1" spans="1:10" ht="24" customHeight="1" thickBot="1">
      <c r="A1" s="1"/>
      <c r="B1" s="1"/>
      <c r="C1" s="30"/>
      <c r="D1" s="30"/>
      <c r="E1" s="1"/>
      <c r="F1" s="1"/>
      <c r="G1" s="24"/>
      <c r="H1" s="1"/>
      <c r="I1" s="1"/>
      <c r="J1" s="1"/>
    </row>
    <row r="2" spans="1:10" ht="81.650000000000006" customHeight="1" thickTop="1">
      <c r="A2" s="1"/>
      <c r="B2" s="473" t="s">
        <v>458</v>
      </c>
      <c r="C2" s="473"/>
      <c r="D2" s="473"/>
      <c r="E2" s="473"/>
      <c r="F2" s="473"/>
      <c r="G2" s="473"/>
      <c r="H2" s="474"/>
      <c r="I2" s="112" t="s">
        <v>459</v>
      </c>
      <c r="J2" s="20"/>
    </row>
    <row r="3" spans="1:10" ht="40.4" customHeight="1">
      <c r="A3" s="1"/>
      <c r="B3" s="113" t="s">
        <v>460</v>
      </c>
      <c r="C3" s="114" t="s">
        <v>461</v>
      </c>
      <c r="D3" s="114" t="s">
        <v>462</v>
      </c>
      <c r="E3" s="477" t="s">
        <v>68</v>
      </c>
      <c r="F3" s="477"/>
      <c r="G3" s="115" t="s">
        <v>463</v>
      </c>
      <c r="H3" s="279" t="s">
        <v>464</v>
      </c>
      <c r="I3" s="483" t="s">
        <v>465</v>
      </c>
      <c r="J3" s="26"/>
    </row>
    <row r="4" spans="1:10" ht="44.9" customHeight="1">
      <c r="A4" s="1"/>
      <c r="B4" s="76">
        <v>1</v>
      </c>
      <c r="C4" s="460" t="s">
        <v>466</v>
      </c>
      <c r="D4" s="460"/>
      <c r="E4" s="460"/>
      <c r="F4" s="460"/>
      <c r="G4" s="460"/>
      <c r="H4" s="460"/>
      <c r="I4" s="483"/>
      <c r="J4" s="26"/>
    </row>
    <row r="5" spans="1:10" ht="91.4" customHeight="1">
      <c r="A5" s="1"/>
      <c r="B5" s="78" t="s">
        <v>467</v>
      </c>
      <c r="C5" s="77" t="s">
        <v>468</v>
      </c>
      <c r="D5" s="77" t="s">
        <v>469</v>
      </c>
      <c r="E5" s="446"/>
      <c r="F5" s="446"/>
      <c r="G5" s="234"/>
      <c r="H5" s="280"/>
      <c r="I5" s="483"/>
      <c r="J5" s="19"/>
    </row>
    <row r="6" spans="1:10" ht="64.400000000000006" customHeight="1">
      <c r="A6" s="1"/>
      <c r="B6" s="78" t="s">
        <v>470</v>
      </c>
      <c r="C6" s="77" t="s">
        <v>471</v>
      </c>
      <c r="D6" s="77" t="s">
        <v>472</v>
      </c>
      <c r="E6" s="446"/>
      <c r="F6" s="446"/>
      <c r="G6" s="235"/>
      <c r="H6" s="280"/>
      <c r="I6" s="483"/>
      <c r="J6" s="19"/>
    </row>
    <row r="7" spans="1:10" ht="98.5" customHeight="1">
      <c r="A7" s="1"/>
      <c r="B7" s="78" t="s">
        <v>473</v>
      </c>
      <c r="C7" s="77" t="s">
        <v>474</v>
      </c>
      <c r="D7" s="77" t="s">
        <v>475</v>
      </c>
      <c r="E7" s="446"/>
      <c r="F7" s="446"/>
      <c r="G7" s="235"/>
      <c r="H7" s="280"/>
      <c r="I7" s="483"/>
      <c r="J7" s="19"/>
    </row>
    <row r="8" spans="1:10" ht="47.15" customHeight="1">
      <c r="A8" s="1"/>
      <c r="B8" s="76">
        <v>2</v>
      </c>
      <c r="C8" s="460" t="s">
        <v>476</v>
      </c>
      <c r="D8" s="460"/>
      <c r="E8" s="460"/>
      <c r="F8" s="460"/>
      <c r="G8" s="460"/>
      <c r="H8" s="460"/>
      <c r="I8" s="483"/>
      <c r="J8" s="19"/>
    </row>
    <row r="9" spans="1:10" ht="47.25" customHeight="1">
      <c r="A9" s="1"/>
      <c r="B9" s="78" t="s">
        <v>477</v>
      </c>
      <c r="C9" s="77" t="s">
        <v>478</v>
      </c>
      <c r="D9" s="77" t="s">
        <v>479</v>
      </c>
      <c r="E9" s="446"/>
      <c r="F9" s="446"/>
      <c r="G9" s="234"/>
      <c r="H9" s="280"/>
      <c r="I9" s="483"/>
      <c r="J9" s="19"/>
    </row>
    <row r="10" spans="1:10" ht="47.25" customHeight="1">
      <c r="A10" s="1"/>
      <c r="B10" s="78" t="s">
        <v>480</v>
      </c>
      <c r="C10" s="77" t="s">
        <v>481</v>
      </c>
      <c r="D10" s="77" t="s">
        <v>482</v>
      </c>
      <c r="E10" s="450"/>
      <c r="F10" s="451"/>
      <c r="G10" s="234"/>
      <c r="H10" s="280"/>
      <c r="I10" s="483"/>
      <c r="J10" s="19"/>
    </row>
    <row r="11" spans="1:10" ht="47.25" customHeight="1">
      <c r="A11" s="1"/>
      <c r="B11" s="78" t="s">
        <v>483</v>
      </c>
      <c r="C11" s="77" t="s">
        <v>484</v>
      </c>
      <c r="D11" s="77" t="s">
        <v>485</v>
      </c>
      <c r="E11" s="450"/>
      <c r="F11" s="451"/>
      <c r="G11" s="234"/>
      <c r="H11" s="280"/>
      <c r="I11" s="483"/>
      <c r="J11" s="19"/>
    </row>
    <row r="12" spans="1:10" ht="47.25" customHeight="1">
      <c r="A12" s="1"/>
      <c r="B12" s="78" t="s">
        <v>486</v>
      </c>
      <c r="C12" s="77" t="s">
        <v>487</v>
      </c>
      <c r="D12" s="77" t="s">
        <v>488</v>
      </c>
      <c r="E12" s="450"/>
      <c r="F12" s="451"/>
      <c r="G12" s="234"/>
      <c r="H12" s="280"/>
      <c r="I12" s="483"/>
      <c r="J12" s="19"/>
    </row>
    <row r="13" spans="1:10" ht="47.25" customHeight="1">
      <c r="A13" s="1"/>
      <c r="B13" s="78" t="s">
        <v>489</v>
      </c>
      <c r="C13" s="77" t="s">
        <v>490</v>
      </c>
      <c r="D13" s="77" t="s">
        <v>491</v>
      </c>
      <c r="E13" s="450"/>
      <c r="F13" s="451"/>
      <c r="G13" s="234"/>
      <c r="H13" s="280"/>
      <c r="I13" s="483"/>
      <c r="J13" s="19"/>
    </row>
    <row r="14" spans="1:10" ht="47.25" customHeight="1">
      <c r="A14" s="1"/>
      <c r="B14" s="78" t="s">
        <v>492</v>
      </c>
      <c r="C14" s="77" t="s">
        <v>493</v>
      </c>
      <c r="D14" s="77" t="s">
        <v>494</v>
      </c>
      <c r="E14" s="450"/>
      <c r="F14" s="451"/>
      <c r="G14" s="234"/>
      <c r="H14" s="280"/>
      <c r="I14" s="483"/>
      <c r="J14" s="19"/>
    </row>
    <row r="15" spans="1:10" ht="66.75" customHeight="1">
      <c r="A15" s="1"/>
      <c r="B15" s="78" t="s">
        <v>495</v>
      </c>
      <c r="C15" s="77" t="s">
        <v>496</v>
      </c>
      <c r="D15" s="77" t="s">
        <v>497</v>
      </c>
      <c r="E15" s="446"/>
      <c r="F15" s="446"/>
      <c r="G15" s="235"/>
      <c r="H15" s="280"/>
      <c r="I15" s="483"/>
      <c r="J15" s="19"/>
    </row>
    <row r="16" spans="1:10" ht="58">
      <c r="A16" s="1"/>
      <c r="B16" s="78" t="s">
        <v>498</v>
      </c>
      <c r="C16" s="77" t="s">
        <v>499</v>
      </c>
      <c r="D16" s="77" t="s">
        <v>500</v>
      </c>
      <c r="E16" s="446"/>
      <c r="F16" s="446"/>
      <c r="G16" s="235"/>
      <c r="H16" s="280"/>
      <c r="I16" s="483"/>
      <c r="J16" s="19"/>
    </row>
    <row r="17" spans="1:10" ht="87">
      <c r="A17" s="1"/>
      <c r="B17" s="78" t="s">
        <v>501</v>
      </c>
      <c r="C17" s="77" t="s">
        <v>502</v>
      </c>
      <c r="D17" s="77" t="s">
        <v>503</v>
      </c>
      <c r="E17" s="446"/>
      <c r="F17" s="446"/>
      <c r="G17" s="235"/>
      <c r="H17" s="280"/>
      <c r="I17" s="483"/>
      <c r="J17" s="19"/>
    </row>
    <row r="18" spans="1:10" ht="63.65" customHeight="1">
      <c r="A18" s="1"/>
      <c r="B18" s="78" t="s">
        <v>504</v>
      </c>
      <c r="C18" s="77" t="s">
        <v>505</v>
      </c>
      <c r="D18" s="77" t="s">
        <v>506</v>
      </c>
      <c r="E18" s="446"/>
      <c r="F18" s="446"/>
      <c r="G18" s="235"/>
      <c r="H18" s="280"/>
      <c r="I18" s="483"/>
      <c r="J18" s="19"/>
    </row>
    <row r="19" spans="1:10" ht="47.15" customHeight="1">
      <c r="A19" s="1"/>
      <c r="B19" s="76">
        <v>3</v>
      </c>
      <c r="C19" s="460" t="s">
        <v>507</v>
      </c>
      <c r="D19" s="460"/>
      <c r="E19" s="460"/>
      <c r="F19" s="460"/>
      <c r="G19" s="460"/>
      <c r="H19" s="460"/>
      <c r="I19" s="483"/>
      <c r="J19" s="19"/>
    </row>
    <row r="20" spans="1:10" ht="68.25" customHeight="1">
      <c r="A20" s="1"/>
      <c r="B20" s="78" t="s">
        <v>508</v>
      </c>
      <c r="C20" s="77" t="s">
        <v>509</v>
      </c>
      <c r="D20" s="77" t="s">
        <v>510</v>
      </c>
      <c r="E20" s="446"/>
      <c r="F20" s="446"/>
      <c r="G20" s="234"/>
      <c r="H20" s="280"/>
      <c r="I20" s="483"/>
      <c r="J20" s="19"/>
    </row>
    <row r="21" spans="1:10" ht="79.400000000000006" customHeight="1">
      <c r="A21" s="1"/>
      <c r="B21" s="78" t="s">
        <v>511</v>
      </c>
      <c r="C21" s="77" t="s">
        <v>512</v>
      </c>
      <c r="D21" s="77" t="s">
        <v>513</v>
      </c>
      <c r="E21" s="446"/>
      <c r="F21" s="472"/>
      <c r="G21" s="235"/>
      <c r="H21" s="280"/>
      <c r="I21" s="483"/>
      <c r="J21" s="19"/>
    </row>
    <row r="22" spans="1:10" ht="48" customHeight="1">
      <c r="A22" s="1"/>
      <c r="B22" s="78" t="s">
        <v>514</v>
      </c>
      <c r="C22" s="77" t="s">
        <v>515</v>
      </c>
      <c r="D22" s="77" t="s">
        <v>516</v>
      </c>
      <c r="E22" s="446"/>
      <c r="F22" s="447"/>
      <c r="G22" s="235"/>
      <c r="H22" s="280"/>
      <c r="I22" s="483"/>
      <c r="J22" s="19"/>
    </row>
    <row r="23" spans="1:10" ht="41.25" customHeight="1">
      <c r="A23" s="1"/>
      <c r="B23" s="78" t="s">
        <v>517</v>
      </c>
      <c r="C23" s="77" t="s">
        <v>518</v>
      </c>
      <c r="D23" s="77" t="s">
        <v>519</v>
      </c>
      <c r="E23" s="446"/>
      <c r="F23" s="446"/>
      <c r="G23" s="235"/>
      <c r="H23" s="280"/>
      <c r="I23" s="483"/>
      <c r="J23" s="19"/>
    </row>
    <row r="24" spans="1:10" ht="47.15" customHeight="1">
      <c r="A24" s="1"/>
      <c r="B24" s="76">
        <v>4</v>
      </c>
      <c r="C24" s="460" t="s">
        <v>520</v>
      </c>
      <c r="D24" s="460"/>
      <c r="E24" s="460"/>
      <c r="F24" s="460"/>
      <c r="G24" s="460"/>
      <c r="H24" s="460"/>
      <c r="I24" s="483"/>
      <c r="J24" s="19"/>
    </row>
    <row r="25" spans="1:10" ht="65.25" customHeight="1">
      <c r="A25" s="1"/>
      <c r="B25" s="78" t="s">
        <v>521</v>
      </c>
      <c r="C25" s="77" t="s">
        <v>522</v>
      </c>
      <c r="D25" s="77" t="s">
        <v>523</v>
      </c>
      <c r="E25" s="446"/>
      <c r="F25" s="479"/>
      <c r="G25" s="79"/>
      <c r="H25" s="280"/>
      <c r="I25" s="483"/>
      <c r="J25" s="19"/>
    </row>
    <row r="26" spans="1:10" ht="42" customHeight="1">
      <c r="A26" s="1"/>
      <c r="B26" s="78" t="s">
        <v>524</v>
      </c>
      <c r="C26" s="77" t="s">
        <v>525</v>
      </c>
      <c r="D26" s="77" t="s">
        <v>526</v>
      </c>
      <c r="E26" s="446"/>
      <c r="F26" s="446"/>
      <c r="G26" s="235"/>
      <c r="H26" s="280"/>
      <c r="I26" s="483"/>
      <c r="J26" s="19"/>
    </row>
    <row r="27" spans="1:10" ht="102" customHeight="1">
      <c r="A27" s="1"/>
      <c r="B27" s="78" t="s">
        <v>527</v>
      </c>
      <c r="C27" s="77" t="s">
        <v>528</v>
      </c>
      <c r="D27" s="77" t="s">
        <v>529</v>
      </c>
      <c r="E27" s="446"/>
      <c r="F27" s="446"/>
      <c r="G27" s="235"/>
      <c r="H27" s="280"/>
      <c r="I27" s="483"/>
      <c r="J27" s="19"/>
    </row>
    <row r="28" spans="1:10" ht="76.5" customHeight="1">
      <c r="A28" s="1"/>
      <c r="B28" s="78" t="s">
        <v>530</v>
      </c>
      <c r="C28" s="77" t="s">
        <v>531</v>
      </c>
      <c r="D28" s="77" t="s">
        <v>532</v>
      </c>
      <c r="E28" s="446"/>
      <c r="F28" s="446"/>
      <c r="G28" s="235"/>
      <c r="H28" s="280"/>
      <c r="I28" s="483"/>
      <c r="J28" s="19"/>
    </row>
    <row r="29" spans="1:10" ht="47.15" customHeight="1">
      <c r="A29" s="1"/>
      <c r="B29" s="76">
        <v>5</v>
      </c>
      <c r="C29" s="460" t="s">
        <v>533</v>
      </c>
      <c r="D29" s="460"/>
      <c r="E29" s="460"/>
      <c r="F29" s="460"/>
      <c r="G29" s="460"/>
      <c r="H29" s="460"/>
      <c r="I29" s="483"/>
      <c r="J29" s="19"/>
    </row>
    <row r="30" spans="1:10" ht="52.5" customHeight="1">
      <c r="A30" s="1"/>
      <c r="B30" s="78" t="s">
        <v>534</v>
      </c>
      <c r="C30" s="77" t="s">
        <v>535</v>
      </c>
      <c r="D30" s="77" t="s">
        <v>536</v>
      </c>
      <c r="E30" s="446"/>
      <c r="F30" s="446"/>
      <c r="G30" s="234"/>
      <c r="H30" s="280"/>
      <c r="I30" s="483"/>
      <c r="J30" s="19"/>
    </row>
    <row r="31" spans="1:10" ht="87">
      <c r="A31" s="1"/>
      <c r="B31" s="78" t="s">
        <v>537</v>
      </c>
      <c r="C31" s="77" t="s">
        <v>538</v>
      </c>
      <c r="D31" s="77" t="s">
        <v>539</v>
      </c>
      <c r="E31" s="446"/>
      <c r="F31" s="446"/>
      <c r="G31" s="235"/>
      <c r="H31" s="280"/>
      <c r="I31" s="483"/>
      <c r="J31" s="19"/>
    </row>
    <row r="32" spans="1:10" ht="78.75" customHeight="1">
      <c r="A32" s="1"/>
      <c r="B32" s="78" t="s">
        <v>540</v>
      </c>
      <c r="C32" s="77" t="s">
        <v>541</v>
      </c>
      <c r="D32" s="77" t="s">
        <v>542</v>
      </c>
      <c r="E32" s="446"/>
      <c r="F32" s="446"/>
      <c r="G32" s="235"/>
      <c r="H32" s="280"/>
      <c r="I32" s="483"/>
      <c r="J32" s="19"/>
    </row>
    <row r="33" spans="1:10" ht="87">
      <c r="A33" s="1"/>
      <c r="B33" s="78" t="s">
        <v>543</v>
      </c>
      <c r="C33" s="77" t="s">
        <v>544</v>
      </c>
      <c r="D33" s="77" t="s">
        <v>545</v>
      </c>
      <c r="E33" s="446"/>
      <c r="F33" s="446"/>
      <c r="G33" s="235"/>
      <c r="H33" s="280"/>
      <c r="I33" s="483"/>
      <c r="J33" s="19"/>
    </row>
    <row r="34" spans="1:10" ht="63.65" customHeight="1">
      <c r="A34" s="1"/>
      <c r="B34" s="78" t="s">
        <v>546</v>
      </c>
      <c r="C34" s="77" t="s">
        <v>547</v>
      </c>
      <c r="D34" s="77" t="s">
        <v>548</v>
      </c>
      <c r="E34" s="446"/>
      <c r="F34" s="446"/>
      <c r="G34" s="235"/>
      <c r="H34" s="280"/>
      <c r="I34" s="483"/>
      <c r="J34" s="19"/>
    </row>
    <row r="35" spans="1:10" ht="47.15" customHeight="1">
      <c r="A35" s="1"/>
      <c r="B35" s="76">
        <v>6</v>
      </c>
      <c r="C35" s="460" t="s">
        <v>549</v>
      </c>
      <c r="D35" s="460"/>
      <c r="E35" s="460"/>
      <c r="F35" s="460"/>
      <c r="G35" s="460"/>
      <c r="H35" s="460"/>
      <c r="I35" s="483"/>
      <c r="J35" s="19"/>
    </row>
    <row r="36" spans="1:10" ht="78.650000000000006" customHeight="1">
      <c r="A36" s="1"/>
      <c r="B36" s="78" t="s">
        <v>550</v>
      </c>
      <c r="C36" s="77" t="s">
        <v>551</v>
      </c>
      <c r="D36" s="77" t="s">
        <v>552</v>
      </c>
      <c r="E36" s="446"/>
      <c r="F36" s="446"/>
      <c r="G36" s="234"/>
      <c r="H36" s="280"/>
      <c r="I36" s="483"/>
      <c r="J36" s="19"/>
    </row>
    <row r="37" spans="1:10" ht="69" customHeight="1">
      <c r="A37" s="1"/>
      <c r="B37" s="78" t="s">
        <v>553</v>
      </c>
      <c r="C37" s="77" t="s">
        <v>554</v>
      </c>
      <c r="D37" s="77" t="s">
        <v>555</v>
      </c>
      <c r="E37" s="446"/>
      <c r="F37" s="446"/>
      <c r="G37" s="235"/>
      <c r="H37" s="280"/>
      <c r="I37" s="483"/>
      <c r="J37" s="19"/>
    </row>
    <row r="38" spans="1:10" ht="47.15" customHeight="1">
      <c r="A38" s="1"/>
      <c r="B38" s="76">
        <v>7</v>
      </c>
      <c r="C38" s="460" t="s">
        <v>556</v>
      </c>
      <c r="D38" s="460"/>
      <c r="E38" s="460"/>
      <c r="F38" s="460"/>
      <c r="G38" s="460"/>
      <c r="H38" s="460"/>
      <c r="I38" s="483"/>
      <c r="J38" s="19"/>
    </row>
    <row r="39" spans="1:10" ht="60.65" customHeight="1">
      <c r="A39" s="1"/>
      <c r="B39" s="78" t="s">
        <v>557</v>
      </c>
      <c r="C39" s="77" t="s">
        <v>558</v>
      </c>
      <c r="D39" s="77" t="s">
        <v>559</v>
      </c>
      <c r="E39" s="446"/>
      <c r="F39" s="479"/>
      <c r="G39" s="79"/>
      <c r="H39" s="280"/>
      <c r="I39" s="483"/>
      <c r="J39" s="19"/>
    </row>
    <row r="40" spans="1:10" ht="69" customHeight="1">
      <c r="A40" s="1"/>
      <c r="B40" s="78" t="s">
        <v>560</v>
      </c>
      <c r="C40" s="77" t="s">
        <v>561</v>
      </c>
      <c r="D40" s="77" t="s">
        <v>562</v>
      </c>
      <c r="E40" s="446"/>
      <c r="F40" s="446"/>
      <c r="G40" s="235"/>
      <c r="H40" s="280"/>
      <c r="I40" s="483"/>
      <c r="J40" s="19"/>
    </row>
    <row r="41" spans="1:10" ht="93" customHeight="1">
      <c r="A41" s="1"/>
      <c r="B41" s="78" t="s">
        <v>563</v>
      </c>
      <c r="C41" s="77" t="s">
        <v>564</v>
      </c>
      <c r="D41" s="77" t="s">
        <v>565</v>
      </c>
      <c r="E41" s="446"/>
      <c r="F41" s="446"/>
      <c r="G41" s="235"/>
      <c r="H41" s="280"/>
      <c r="I41" s="483"/>
      <c r="J41" s="19"/>
    </row>
    <row r="42" spans="1:10" ht="91.5" customHeight="1">
      <c r="A42" s="1"/>
      <c r="B42" s="78" t="s">
        <v>566</v>
      </c>
      <c r="C42" s="77" t="s">
        <v>567</v>
      </c>
      <c r="D42" s="77" t="s">
        <v>568</v>
      </c>
      <c r="E42" s="446"/>
      <c r="F42" s="446"/>
      <c r="G42" s="235"/>
      <c r="H42" s="280"/>
      <c r="I42" s="483"/>
      <c r="J42" s="19"/>
    </row>
    <row r="43" spans="1:10" ht="63.65" customHeight="1">
      <c r="A43" s="1"/>
      <c r="B43" s="78" t="s">
        <v>569</v>
      </c>
      <c r="C43" s="77" t="s">
        <v>570</v>
      </c>
      <c r="D43" s="77" t="s">
        <v>571</v>
      </c>
      <c r="E43" s="446"/>
      <c r="F43" s="446"/>
      <c r="G43" s="235"/>
      <c r="H43" s="280"/>
      <c r="I43" s="483"/>
      <c r="J43" s="19"/>
    </row>
    <row r="44" spans="1:10" ht="34.5" customHeight="1">
      <c r="A44" s="1"/>
      <c r="B44" s="478" t="s">
        <v>572</v>
      </c>
      <c r="C44" s="478"/>
      <c r="D44" s="478"/>
      <c r="E44" s="478"/>
      <c r="F44" s="478"/>
      <c r="G44" s="478"/>
      <c r="H44" s="478"/>
      <c r="I44" s="483"/>
      <c r="J44" s="19"/>
    </row>
    <row r="45" spans="1:10" ht="34.5" customHeight="1">
      <c r="A45" s="1"/>
      <c r="B45" s="78" t="s">
        <v>573</v>
      </c>
      <c r="C45" s="77" t="s">
        <v>574</v>
      </c>
      <c r="D45" s="77" t="s">
        <v>575</v>
      </c>
      <c r="E45" s="446"/>
      <c r="F45" s="446"/>
      <c r="G45" s="79"/>
      <c r="H45" s="281"/>
      <c r="I45" s="483"/>
      <c r="J45" s="19"/>
    </row>
    <row r="46" spans="1:10" ht="45.65" customHeight="1">
      <c r="A46" s="1"/>
      <c r="B46" s="78" t="s">
        <v>576</v>
      </c>
      <c r="C46" s="77" t="s">
        <v>577</v>
      </c>
      <c r="D46" s="77" t="s">
        <v>578</v>
      </c>
      <c r="E46" s="446"/>
      <c r="F46" s="446"/>
      <c r="G46" s="79"/>
      <c r="H46" s="281"/>
      <c r="I46" s="483"/>
      <c r="J46" s="19"/>
    </row>
    <row r="47" spans="1:10" ht="47.25" customHeight="1">
      <c r="A47" s="1"/>
      <c r="B47" s="78" t="s">
        <v>579</v>
      </c>
      <c r="C47" s="77" t="s">
        <v>580</v>
      </c>
      <c r="D47" s="77" t="s">
        <v>581</v>
      </c>
      <c r="E47" s="446"/>
      <c r="F47" s="446"/>
      <c r="G47" s="79"/>
      <c r="H47" s="281"/>
      <c r="I47" s="483"/>
      <c r="J47" s="19"/>
    </row>
    <row r="48" spans="1:10" ht="40.5" customHeight="1">
      <c r="A48" s="1"/>
      <c r="B48" s="78" t="s">
        <v>582</v>
      </c>
      <c r="C48" s="77" t="s">
        <v>583</v>
      </c>
      <c r="D48" s="77" t="s">
        <v>584</v>
      </c>
      <c r="E48" s="446"/>
      <c r="F48" s="446"/>
      <c r="G48" s="79" t="s">
        <v>585</v>
      </c>
      <c r="H48" s="281"/>
      <c r="I48" s="483"/>
      <c r="J48" s="19"/>
    </row>
    <row r="49" spans="1:10" ht="72.75" customHeight="1">
      <c r="A49" s="1"/>
      <c r="B49" s="78" t="s">
        <v>586</v>
      </c>
      <c r="C49" s="77" t="s">
        <v>587</v>
      </c>
      <c r="D49" s="77" t="s">
        <v>588</v>
      </c>
      <c r="E49" s="446"/>
      <c r="F49" s="446"/>
      <c r="G49" s="79"/>
      <c r="H49" s="282"/>
      <c r="I49" s="483"/>
      <c r="J49" s="19"/>
    </row>
    <row r="50" spans="1:10" ht="47.15" customHeight="1">
      <c r="A50" s="1"/>
      <c r="B50" s="76">
        <v>8</v>
      </c>
      <c r="C50" s="460" t="s">
        <v>589</v>
      </c>
      <c r="D50" s="460"/>
      <c r="E50" s="460"/>
      <c r="F50" s="460"/>
      <c r="G50" s="460"/>
      <c r="H50" s="460"/>
      <c r="I50" s="483"/>
      <c r="J50" s="19"/>
    </row>
    <row r="51" spans="1:10" ht="87">
      <c r="A51" s="1"/>
      <c r="B51" s="78" t="s">
        <v>590</v>
      </c>
      <c r="C51" s="77" t="s">
        <v>591</v>
      </c>
      <c r="D51" s="77" t="s">
        <v>592</v>
      </c>
      <c r="E51" s="446"/>
      <c r="F51" s="446"/>
      <c r="G51" s="234"/>
      <c r="H51" s="280"/>
      <c r="I51" s="483"/>
      <c r="J51" s="19"/>
    </row>
    <row r="52" spans="1:10" ht="87">
      <c r="A52" s="1"/>
      <c r="B52" s="78" t="s">
        <v>593</v>
      </c>
      <c r="C52" s="77" t="s">
        <v>594</v>
      </c>
      <c r="D52" s="77" t="s">
        <v>595</v>
      </c>
      <c r="E52" s="446"/>
      <c r="F52" s="446"/>
      <c r="G52" s="235"/>
      <c r="H52" s="280"/>
      <c r="I52" s="483"/>
      <c r="J52" s="19"/>
    </row>
    <row r="53" spans="1:10" ht="72.5">
      <c r="A53" s="1"/>
      <c r="B53" s="78" t="s">
        <v>596</v>
      </c>
      <c r="C53" s="77" t="s">
        <v>597</v>
      </c>
      <c r="D53" s="77" t="s">
        <v>598</v>
      </c>
      <c r="E53" s="446"/>
      <c r="F53" s="446"/>
      <c r="G53" s="235"/>
      <c r="H53" s="280"/>
      <c r="I53" s="483"/>
      <c r="J53" s="19"/>
    </row>
    <row r="54" spans="1:10" ht="75.75" customHeight="1">
      <c r="A54" s="1"/>
      <c r="B54" s="78" t="s">
        <v>599</v>
      </c>
      <c r="C54" s="77" t="s">
        <v>600</v>
      </c>
      <c r="D54" s="77" t="s">
        <v>601</v>
      </c>
      <c r="E54" s="446"/>
      <c r="F54" s="446"/>
      <c r="G54" s="235"/>
      <c r="H54" s="280"/>
      <c r="I54" s="483"/>
      <c r="J54" s="19"/>
    </row>
    <row r="55" spans="1:10" ht="47.15" customHeight="1">
      <c r="A55" s="1"/>
      <c r="B55" s="76">
        <v>9</v>
      </c>
      <c r="C55" s="460" t="s">
        <v>602</v>
      </c>
      <c r="D55" s="460"/>
      <c r="E55" s="460"/>
      <c r="F55" s="460"/>
      <c r="G55" s="460"/>
      <c r="H55" s="460"/>
      <c r="I55" s="483"/>
      <c r="J55" s="19"/>
    </row>
    <row r="56" spans="1:10" ht="68.25" customHeight="1">
      <c r="A56" s="1"/>
      <c r="B56" s="78" t="s">
        <v>603</v>
      </c>
      <c r="C56" s="77" t="s">
        <v>604</v>
      </c>
      <c r="D56" s="77" t="s">
        <v>605</v>
      </c>
      <c r="E56" s="375"/>
      <c r="F56" s="375"/>
      <c r="G56" s="234"/>
      <c r="H56" s="280"/>
      <c r="I56" s="483"/>
      <c r="J56" s="19"/>
    </row>
    <row r="57" spans="1:10" ht="69" customHeight="1">
      <c r="A57" s="1"/>
      <c r="B57" s="78" t="s">
        <v>606</v>
      </c>
      <c r="C57" s="77" t="s">
        <v>607</v>
      </c>
      <c r="D57" s="77" t="s">
        <v>608</v>
      </c>
      <c r="E57" s="375"/>
      <c r="F57" s="488"/>
      <c r="G57" s="79"/>
      <c r="H57" s="280"/>
      <c r="I57" s="483"/>
      <c r="J57" s="19"/>
    </row>
    <row r="58" spans="1:10" ht="55.5" customHeight="1">
      <c r="A58" s="1"/>
      <c r="B58" s="78" t="s">
        <v>609</v>
      </c>
      <c r="C58" s="77" t="s">
        <v>610</v>
      </c>
      <c r="D58" s="77" t="s">
        <v>611</v>
      </c>
      <c r="E58" s="375"/>
      <c r="F58" s="375"/>
      <c r="G58" s="235"/>
      <c r="H58" s="280"/>
      <c r="I58" s="483"/>
      <c r="J58" s="19"/>
    </row>
    <row r="59" spans="1:10" ht="37.5" customHeight="1">
      <c r="A59" s="1"/>
      <c r="B59" s="76">
        <v>10</v>
      </c>
      <c r="C59" s="460" t="s">
        <v>612</v>
      </c>
      <c r="D59" s="460"/>
      <c r="E59" s="460"/>
      <c r="F59" s="460"/>
      <c r="G59" s="460"/>
      <c r="H59" s="460"/>
      <c r="I59" s="483"/>
      <c r="J59" s="19"/>
    </row>
    <row r="60" spans="1:10" ht="98.25" customHeight="1">
      <c r="A60" s="1"/>
      <c r="B60" s="78" t="s">
        <v>613</v>
      </c>
      <c r="C60" s="77" t="s">
        <v>614</v>
      </c>
      <c r="D60" s="77" t="s">
        <v>615</v>
      </c>
      <c r="E60" s="375"/>
      <c r="F60" s="375"/>
      <c r="G60" s="234"/>
      <c r="H60" s="280"/>
      <c r="I60" s="483"/>
      <c r="J60" s="19"/>
    </row>
    <row r="61" spans="1:10" ht="98.25" customHeight="1">
      <c r="A61" s="1"/>
      <c r="B61" s="78" t="s">
        <v>616</v>
      </c>
      <c r="C61" s="77" t="s">
        <v>617</v>
      </c>
      <c r="D61" s="77" t="s">
        <v>618</v>
      </c>
      <c r="E61" s="375"/>
      <c r="F61" s="375"/>
      <c r="G61" s="235"/>
      <c r="H61" s="280"/>
      <c r="I61" s="483"/>
      <c r="J61" s="19"/>
    </row>
    <row r="62" spans="1:10" ht="103.5" customHeight="1">
      <c r="A62" s="1"/>
      <c r="B62" s="78" t="s">
        <v>619</v>
      </c>
      <c r="C62" s="77" t="s">
        <v>620</v>
      </c>
      <c r="D62" s="77" t="s">
        <v>621</v>
      </c>
      <c r="E62" s="375"/>
      <c r="F62" s="375"/>
      <c r="G62" s="235"/>
      <c r="H62" s="280"/>
      <c r="I62" s="483"/>
      <c r="J62" s="19"/>
    </row>
    <row r="63" spans="1:10" ht="42.75" customHeight="1">
      <c r="A63" s="1"/>
      <c r="B63" s="76">
        <v>11</v>
      </c>
      <c r="C63" s="460" t="s">
        <v>622</v>
      </c>
      <c r="D63" s="460"/>
      <c r="E63" s="460"/>
      <c r="F63" s="460"/>
      <c r="G63" s="460"/>
      <c r="H63" s="460"/>
      <c r="I63" s="483"/>
      <c r="J63" s="19"/>
    </row>
    <row r="64" spans="1:10" ht="69" customHeight="1">
      <c r="A64" s="1"/>
      <c r="B64" s="78" t="s">
        <v>623</v>
      </c>
      <c r="C64" s="77" t="s">
        <v>624</v>
      </c>
      <c r="D64" s="77" t="s">
        <v>625</v>
      </c>
      <c r="E64" s="446"/>
      <c r="F64" s="446"/>
      <c r="G64" s="234"/>
      <c r="H64" s="280"/>
      <c r="I64" s="483"/>
      <c r="J64" s="19"/>
    </row>
    <row r="65" spans="1:10" ht="75.75" customHeight="1">
      <c r="A65" s="1"/>
      <c r="B65" s="78" t="s">
        <v>626</v>
      </c>
      <c r="C65" s="77" t="s">
        <v>627</v>
      </c>
      <c r="D65" s="77" t="s">
        <v>628</v>
      </c>
      <c r="E65" s="446"/>
      <c r="F65" s="446"/>
      <c r="G65" s="235"/>
      <c r="H65" s="280"/>
      <c r="I65" s="483"/>
      <c r="J65" s="19"/>
    </row>
    <row r="66" spans="1:10" ht="75.75" customHeight="1">
      <c r="A66" s="1"/>
      <c r="B66" s="78"/>
      <c r="C66" s="77" t="s">
        <v>629</v>
      </c>
      <c r="D66" s="77" t="s">
        <v>630</v>
      </c>
      <c r="E66" s="450"/>
      <c r="F66" s="487"/>
      <c r="G66" s="235"/>
      <c r="H66" s="280"/>
      <c r="I66" s="483"/>
      <c r="J66" s="19"/>
    </row>
    <row r="67" spans="1:10" ht="166.5" customHeight="1">
      <c r="A67" s="1"/>
      <c r="B67" s="78" t="s">
        <v>631</v>
      </c>
      <c r="C67" s="77" t="s">
        <v>632</v>
      </c>
      <c r="D67" s="77" t="s">
        <v>633</v>
      </c>
      <c r="E67" s="446"/>
      <c r="F67" s="479"/>
      <c r="G67" s="79" t="s">
        <v>634</v>
      </c>
      <c r="H67" s="280"/>
      <c r="I67" s="483"/>
      <c r="J67" s="19"/>
    </row>
    <row r="68" spans="1:10" ht="87" customHeight="1">
      <c r="A68" s="1"/>
      <c r="B68" s="78" t="s">
        <v>635</v>
      </c>
      <c r="C68" s="77" t="s">
        <v>636</v>
      </c>
      <c r="D68" s="77" t="s">
        <v>637</v>
      </c>
      <c r="E68" s="446"/>
      <c r="F68" s="446"/>
      <c r="G68" s="235" t="s">
        <v>638</v>
      </c>
      <c r="H68" s="280"/>
      <c r="I68" s="483"/>
      <c r="J68" s="19"/>
    </row>
    <row r="69" spans="1:10" ht="41.25" customHeight="1">
      <c r="A69" s="1"/>
      <c r="B69" s="76">
        <v>12</v>
      </c>
      <c r="C69" s="460" t="s">
        <v>639</v>
      </c>
      <c r="D69" s="460"/>
      <c r="E69" s="460"/>
      <c r="F69" s="460"/>
      <c r="G69" s="460"/>
      <c r="H69" s="460"/>
      <c r="I69" s="483"/>
      <c r="J69" s="19"/>
    </row>
    <row r="70" spans="1:10" ht="73.5" customHeight="1">
      <c r="A70" s="1"/>
      <c r="B70" s="78" t="s">
        <v>640</v>
      </c>
      <c r="C70" s="77" t="s">
        <v>641</v>
      </c>
      <c r="D70" s="77" t="s">
        <v>642</v>
      </c>
      <c r="E70" s="448"/>
      <c r="F70" s="448"/>
      <c r="G70" s="234"/>
      <c r="H70" s="280"/>
      <c r="I70" s="483"/>
      <c r="J70" s="19"/>
    </row>
    <row r="71" spans="1:10" ht="84.75" customHeight="1">
      <c r="A71" s="1"/>
      <c r="B71" s="78" t="s">
        <v>643</v>
      </c>
      <c r="C71" s="77" t="s">
        <v>644</v>
      </c>
      <c r="D71" s="77" t="s">
        <v>645</v>
      </c>
      <c r="E71" s="448"/>
      <c r="F71" s="448"/>
      <c r="G71" s="235"/>
      <c r="H71" s="280"/>
      <c r="I71" s="483"/>
      <c r="J71" s="19"/>
    </row>
    <row r="72" spans="1:10" ht="42" customHeight="1">
      <c r="A72" s="1"/>
      <c r="B72" s="76">
        <v>13</v>
      </c>
      <c r="C72" s="460" t="s">
        <v>646</v>
      </c>
      <c r="D72" s="460"/>
      <c r="E72" s="460"/>
      <c r="F72" s="460"/>
      <c r="G72" s="460"/>
      <c r="H72" s="460"/>
      <c r="I72" s="483"/>
      <c r="J72" s="19"/>
    </row>
    <row r="73" spans="1:10" ht="58.4" customHeight="1">
      <c r="A73" s="1"/>
      <c r="B73" s="78" t="s">
        <v>647</v>
      </c>
      <c r="C73" s="77" t="s">
        <v>648</v>
      </c>
      <c r="D73" s="77" t="s">
        <v>649</v>
      </c>
      <c r="E73" s="446"/>
      <c r="F73" s="446"/>
      <c r="G73" s="234"/>
      <c r="H73" s="280"/>
      <c r="I73" s="483"/>
      <c r="J73" s="19"/>
    </row>
    <row r="74" spans="1:10" ht="57" customHeight="1">
      <c r="A74" s="1"/>
      <c r="B74" s="78" t="s">
        <v>650</v>
      </c>
      <c r="C74" s="77" t="s">
        <v>651</v>
      </c>
      <c r="D74" s="77" t="s">
        <v>652</v>
      </c>
      <c r="E74" s="446"/>
      <c r="F74" s="446"/>
      <c r="G74" s="235"/>
      <c r="H74" s="280"/>
      <c r="I74" s="483"/>
      <c r="J74" s="19"/>
    </row>
    <row r="75" spans="1:10" ht="63" customHeight="1">
      <c r="A75" s="1"/>
      <c r="B75" s="78" t="s">
        <v>653</v>
      </c>
      <c r="C75" s="77" t="s">
        <v>654</v>
      </c>
      <c r="D75" s="77" t="s">
        <v>655</v>
      </c>
      <c r="E75" s="446"/>
      <c r="F75" s="446"/>
      <c r="G75" s="235"/>
      <c r="H75" s="280"/>
      <c r="I75" s="483"/>
      <c r="J75" s="19"/>
    </row>
    <row r="76" spans="1:10" ht="75.75" customHeight="1">
      <c r="A76" s="1"/>
      <c r="B76" s="78" t="s">
        <v>656</v>
      </c>
      <c r="C76" s="77" t="s">
        <v>657</v>
      </c>
      <c r="D76" s="77" t="s">
        <v>658</v>
      </c>
      <c r="E76" s="446"/>
      <c r="F76" s="446"/>
      <c r="G76" s="235"/>
      <c r="H76" s="280"/>
      <c r="I76" s="483"/>
      <c r="J76" s="19"/>
    </row>
    <row r="77" spans="1:10" ht="39" customHeight="1">
      <c r="A77" s="1"/>
      <c r="B77" s="76">
        <v>14</v>
      </c>
      <c r="C77" s="460" t="s">
        <v>659</v>
      </c>
      <c r="D77" s="460"/>
      <c r="E77" s="460"/>
      <c r="F77" s="460"/>
      <c r="G77" s="460"/>
      <c r="H77" s="460"/>
      <c r="I77" s="483"/>
      <c r="J77" s="19"/>
    </row>
    <row r="78" spans="1:10" ht="95.25" customHeight="1">
      <c r="A78" s="1"/>
      <c r="B78" s="78" t="s">
        <v>660</v>
      </c>
      <c r="C78" s="77" t="s">
        <v>661</v>
      </c>
      <c r="D78" s="77" t="s">
        <v>662</v>
      </c>
      <c r="E78" s="446"/>
      <c r="F78" s="446"/>
      <c r="G78" s="234"/>
      <c r="H78" s="280"/>
      <c r="I78" s="483"/>
      <c r="J78" s="19"/>
    </row>
    <row r="79" spans="1:10" ht="117" customHeight="1">
      <c r="A79" s="1"/>
      <c r="B79" s="78" t="s">
        <v>663</v>
      </c>
      <c r="C79" s="77" t="s">
        <v>664</v>
      </c>
      <c r="D79" s="77" t="s">
        <v>665</v>
      </c>
      <c r="E79" s="446"/>
      <c r="F79" s="446"/>
      <c r="G79" s="235"/>
      <c r="H79" s="280"/>
      <c r="I79" s="483"/>
      <c r="J79" s="19"/>
    </row>
    <row r="80" spans="1:10" ht="60.75" customHeight="1">
      <c r="A80" s="1"/>
      <c r="B80" s="78" t="s">
        <v>666</v>
      </c>
      <c r="C80" s="77" t="s">
        <v>667</v>
      </c>
      <c r="D80" s="77" t="s">
        <v>668</v>
      </c>
      <c r="E80" s="446"/>
      <c r="F80" s="446"/>
      <c r="G80" s="235"/>
      <c r="H80" s="280"/>
      <c r="I80" s="483"/>
      <c r="J80" s="19"/>
    </row>
    <row r="81" spans="1:10" ht="131.25" customHeight="1" thickBot="1">
      <c r="A81" s="1"/>
      <c r="B81" s="81" t="s">
        <v>669</v>
      </c>
      <c r="C81" s="80" t="s">
        <v>670</v>
      </c>
      <c r="D81" s="80" t="s">
        <v>671</v>
      </c>
      <c r="E81" s="452"/>
      <c r="F81" s="452"/>
      <c r="G81" s="236"/>
      <c r="H81" s="283"/>
      <c r="I81" s="484"/>
      <c r="J81" s="19"/>
    </row>
    <row r="82" spans="1:10" ht="25.5" hidden="1" customHeight="1" thickTop="1" thickBot="1">
      <c r="A82" s="1"/>
      <c r="B82" s="1"/>
      <c r="C82" s="30"/>
      <c r="D82" s="30"/>
      <c r="E82" s="1"/>
      <c r="F82" s="1"/>
      <c r="G82" s="24"/>
      <c r="H82" s="1"/>
      <c r="I82" s="278"/>
      <c r="J82" s="1"/>
    </row>
    <row r="83" spans="1:10" ht="39.75" hidden="1" customHeight="1" thickTop="1" thickBot="1">
      <c r="A83" s="1"/>
      <c r="B83" s="475" t="s">
        <v>672</v>
      </c>
      <c r="C83" s="475"/>
      <c r="D83" s="475"/>
      <c r="E83" s="475"/>
      <c r="F83" s="475"/>
      <c r="G83" s="475"/>
      <c r="H83" s="476"/>
      <c r="I83" s="1"/>
      <c r="J83" s="1"/>
    </row>
    <row r="84" spans="1:10" s="1" customFormat="1" ht="37.5" hidden="1" customHeight="1" thickTop="1">
      <c r="B84" s="116" t="s">
        <v>460</v>
      </c>
      <c r="C84" s="117" t="s">
        <v>461</v>
      </c>
      <c r="D84" s="117" t="s">
        <v>462</v>
      </c>
      <c r="E84" s="454" t="s">
        <v>68</v>
      </c>
      <c r="F84" s="454"/>
      <c r="G84" s="232" t="s">
        <v>463</v>
      </c>
      <c r="H84" s="233" t="s">
        <v>673</v>
      </c>
      <c r="I84" s="112" t="s">
        <v>459</v>
      </c>
    </row>
    <row r="85" spans="1:10" ht="45.65" hidden="1" customHeight="1">
      <c r="A85" s="1"/>
      <c r="B85" s="76" t="s">
        <v>674</v>
      </c>
      <c r="C85" s="465" t="s">
        <v>675</v>
      </c>
      <c r="D85" s="466"/>
      <c r="E85" s="466"/>
      <c r="F85" s="466"/>
      <c r="G85" s="466"/>
      <c r="H85" s="467"/>
      <c r="I85" s="483" t="str">
        <f>IF('2 - Qualification'!E27="yes","Applicable","N.A")</f>
        <v>N.A</v>
      </c>
      <c r="J85" s="1"/>
    </row>
    <row r="86" spans="1:10" ht="39" hidden="1" customHeight="1">
      <c r="A86" s="1"/>
      <c r="B86" s="83" t="s">
        <v>676</v>
      </c>
      <c r="C86" s="77" t="s">
        <v>677</v>
      </c>
      <c r="D86" s="77" t="s">
        <v>678</v>
      </c>
      <c r="E86" s="446"/>
      <c r="F86" s="447"/>
      <c r="G86" s="79"/>
      <c r="H86" s="229"/>
      <c r="I86" s="483"/>
      <c r="J86" s="1"/>
    </row>
    <row r="87" spans="1:10" ht="45" hidden="1" customHeight="1">
      <c r="A87" s="1"/>
      <c r="B87" s="83" t="s">
        <v>679</v>
      </c>
      <c r="C87" s="77" t="s">
        <v>680</v>
      </c>
      <c r="D87" s="77" t="s">
        <v>681</v>
      </c>
      <c r="E87" s="446"/>
      <c r="F87" s="447"/>
      <c r="G87" s="79"/>
      <c r="H87" s="229"/>
      <c r="I87" s="483"/>
      <c r="J87" s="1"/>
    </row>
    <row r="88" spans="1:10" ht="47.25" hidden="1" customHeight="1">
      <c r="A88" s="1"/>
      <c r="B88" s="83" t="s">
        <v>682</v>
      </c>
      <c r="C88" s="77" t="s">
        <v>683</v>
      </c>
      <c r="D88" s="77" t="s">
        <v>684</v>
      </c>
      <c r="E88" s="446"/>
      <c r="F88" s="447"/>
      <c r="G88" s="79"/>
      <c r="H88" s="229"/>
      <c r="I88" s="483"/>
      <c r="J88" s="1"/>
    </row>
    <row r="89" spans="1:10" ht="32.25" hidden="1" customHeight="1">
      <c r="A89" s="1"/>
      <c r="B89" s="83" t="s">
        <v>685</v>
      </c>
      <c r="C89" s="77" t="s">
        <v>686</v>
      </c>
      <c r="D89" s="77" t="s">
        <v>687</v>
      </c>
      <c r="E89" s="446"/>
      <c r="F89" s="447"/>
      <c r="G89" s="79"/>
      <c r="H89" s="229"/>
      <c r="I89" s="483"/>
      <c r="J89" s="1"/>
    </row>
    <row r="90" spans="1:10" ht="37.4" hidden="1" customHeight="1">
      <c r="A90" s="1"/>
      <c r="B90" s="83" t="s">
        <v>688</v>
      </c>
      <c r="C90" s="77" t="s">
        <v>689</v>
      </c>
      <c r="D90" s="77" t="s">
        <v>690</v>
      </c>
      <c r="E90" s="446"/>
      <c r="F90" s="447"/>
      <c r="G90" s="79"/>
      <c r="H90" s="229"/>
      <c r="I90" s="483"/>
      <c r="J90" s="1"/>
    </row>
    <row r="91" spans="1:10" ht="23.25" hidden="1" customHeight="1">
      <c r="A91" s="1"/>
      <c r="B91" s="83" t="s">
        <v>691</v>
      </c>
      <c r="C91" s="77" t="s">
        <v>692</v>
      </c>
      <c r="D91" s="77" t="s">
        <v>693</v>
      </c>
      <c r="E91" s="446"/>
      <c r="F91" s="447"/>
      <c r="G91" s="79"/>
      <c r="H91" s="229"/>
      <c r="I91" s="483"/>
      <c r="J91" s="1"/>
    </row>
    <row r="92" spans="1:10" ht="52.4" hidden="1" customHeight="1">
      <c r="A92" s="1"/>
      <c r="B92" s="83" t="s">
        <v>694</v>
      </c>
      <c r="C92" s="77" t="s">
        <v>692</v>
      </c>
      <c r="D92" s="77" t="s">
        <v>695</v>
      </c>
      <c r="E92" s="446"/>
      <c r="F92" s="447"/>
      <c r="G92" s="79"/>
      <c r="H92" s="229"/>
      <c r="I92" s="483"/>
      <c r="J92" s="1"/>
    </row>
    <row r="93" spans="1:10" ht="33.75" hidden="1" customHeight="1">
      <c r="A93" s="1"/>
      <c r="B93" s="83" t="s">
        <v>696</v>
      </c>
      <c r="C93" s="77" t="s">
        <v>697</v>
      </c>
      <c r="D93" s="77" t="s">
        <v>698</v>
      </c>
      <c r="E93" s="446"/>
      <c r="F93" s="447"/>
      <c r="G93" s="85"/>
      <c r="H93" s="229"/>
      <c r="I93" s="483"/>
      <c r="J93" s="1"/>
    </row>
    <row r="94" spans="1:10" ht="29.25" hidden="1" customHeight="1">
      <c r="A94" s="1"/>
      <c r="B94" s="83" t="s">
        <v>699</v>
      </c>
      <c r="C94" s="77" t="s">
        <v>700</v>
      </c>
      <c r="D94" s="77" t="s">
        <v>701</v>
      </c>
      <c r="E94" s="446"/>
      <c r="F94" s="447"/>
      <c r="G94" s="79"/>
      <c r="H94" s="229"/>
      <c r="I94" s="483"/>
      <c r="J94" s="1"/>
    </row>
    <row r="95" spans="1:10" ht="35.15" hidden="1" customHeight="1">
      <c r="A95" s="1"/>
      <c r="B95" s="83" t="s">
        <v>702</v>
      </c>
      <c r="C95" s="77" t="s">
        <v>703</v>
      </c>
      <c r="D95" s="77" t="s">
        <v>704</v>
      </c>
      <c r="E95" s="446"/>
      <c r="F95" s="447"/>
      <c r="G95" s="79"/>
      <c r="H95" s="229"/>
      <c r="I95" s="483"/>
      <c r="J95" s="1"/>
    </row>
    <row r="96" spans="1:10" ht="26.15" hidden="1" customHeight="1">
      <c r="A96" s="1"/>
      <c r="B96" s="83" t="s">
        <v>705</v>
      </c>
      <c r="C96" s="77" t="s">
        <v>706</v>
      </c>
      <c r="D96" s="77" t="s">
        <v>707</v>
      </c>
      <c r="E96" s="446"/>
      <c r="F96" s="447"/>
      <c r="G96" s="79"/>
      <c r="H96" s="229"/>
      <c r="I96" s="483"/>
      <c r="J96" s="1"/>
    </row>
    <row r="97" spans="1:10" ht="32.9" hidden="1" customHeight="1">
      <c r="A97" s="1"/>
      <c r="B97" s="83" t="s">
        <v>708</v>
      </c>
      <c r="C97" s="77" t="s">
        <v>709</v>
      </c>
      <c r="D97" s="77" t="s">
        <v>710</v>
      </c>
      <c r="E97" s="446"/>
      <c r="F97" s="447"/>
      <c r="G97" s="79"/>
      <c r="H97" s="229"/>
      <c r="I97" s="483"/>
      <c r="J97" s="1"/>
    </row>
    <row r="98" spans="1:10" ht="57.75" hidden="1" customHeight="1" thickBot="1">
      <c r="A98" s="1"/>
      <c r="B98" s="84" t="s">
        <v>711</v>
      </c>
      <c r="C98" s="80" t="s">
        <v>712</v>
      </c>
      <c r="D98" s="80" t="s">
        <v>713</v>
      </c>
      <c r="E98" s="452"/>
      <c r="F98" s="453"/>
      <c r="G98" s="82"/>
      <c r="H98" s="231"/>
      <c r="I98" s="484"/>
      <c r="J98" s="1"/>
    </row>
    <row r="99" spans="1:10" ht="26.25" customHeight="1" thickTop="1" thickBot="1">
      <c r="A99" s="1"/>
      <c r="B99" s="36"/>
      <c r="C99" s="37"/>
      <c r="D99" s="37"/>
      <c r="E99" s="19"/>
      <c r="F99" s="19"/>
      <c r="G99" s="35"/>
      <c r="H99" s="19"/>
      <c r="I99" s="19"/>
      <c r="J99" s="1"/>
    </row>
    <row r="100" spans="1:10" ht="37.5" customHeight="1" thickTop="1">
      <c r="A100" s="1"/>
      <c r="B100" s="116" t="s">
        <v>460</v>
      </c>
      <c r="C100" s="117" t="s">
        <v>461</v>
      </c>
      <c r="D100" s="117" t="s">
        <v>462</v>
      </c>
      <c r="E100" s="454" t="s">
        <v>68</v>
      </c>
      <c r="F100" s="454"/>
      <c r="G100" s="232" t="s">
        <v>463</v>
      </c>
      <c r="H100" s="233" t="s">
        <v>673</v>
      </c>
      <c r="I100" s="112" t="s">
        <v>459</v>
      </c>
      <c r="J100" s="1"/>
    </row>
    <row r="101" spans="1:10" ht="33.65" customHeight="1">
      <c r="A101" s="1"/>
      <c r="B101" s="76" t="s">
        <v>714</v>
      </c>
      <c r="C101" s="465" t="s">
        <v>715</v>
      </c>
      <c r="D101" s="466"/>
      <c r="E101" s="466"/>
      <c r="F101" s="466"/>
      <c r="G101" s="466"/>
      <c r="H101" s="467"/>
      <c r="I101" s="483" t="str">
        <f>IF(OR('1 - General description'!$C$11="Cloud / SaaS",'1 - General description'!E42="Yes"),"Applicable","N.A")</f>
        <v>Applicable</v>
      </c>
      <c r="J101" s="1"/>
    </row>
    <row r="102" spans="1:10" ht="21" customHeight="1">
      <c r="A102" s="1"/>
      <c r="B102" s="468" t="s">
        <v>716</v>
      </c>
      <c r="C102" s="469"/>
      <c r="D102" s="469"/>
      <c r="E102" s="469"/>
      <c r="F102" s="469"/>
      <c r="G102" s="469"/>
      <c r="H102" s="470"/>
      <c r="I102" s="483"/>
      <c r="J102" s="1"/>
    </row>
    <row r="103" spans="1:10" ht="32.25" customHeight="1">
      <c r="A103" s="1"/>
      <c r="B103" s="78" t="s">
        <v>717</v>
      </c>
      <c r="C103" s="77" t="s">
        <v>718</v>
      </c>
      <c r="D103" s="77" t="s">
        <v>719</v>
      </c>
      <c r="E103" s="446"/>
      <c r="F103" s="447"/>
      <c r="G103" s="79"/>
      <c r="H103" s="229"/>
      <c r="I103" s="483"/>
      <c r="J103" s="1"/>
    </row>
    <row r="104" spans="1:10" ht="33.65" customHeight="1">
      <c r="A104" s="1"/>
      <c r="B104" s="78" t="s">
        <v>720</v>
      </c>
      <c r="C104" s="77" t="s">
        <v>721</v>
      </c>
      <c r="D104" s="77" t="s">
        <v>722</v>
      </c>
      <c r="E104" s="446"/>
      <c r="F104" s="447"/>
      <c r="G104" s="79"/>
      <c r="H104" s="229"/>
      <c r="I104" s="483"/>
      <c r="J104" s="1"/>
    </row>
    <row r="105" spans="1:10" ht="66.75" customHeight="1">
      <c r="A105" s="1"/>
      <c r="B105" s="78" t="s">
        <v>723</v>
      </c>
      <c r="C105" s="77" t="s">
        <v>724</v>
      </c>
      <c r="D105" s="77" t="s">
        <v>725</v>
      </c>
      <c r="E105" s="446"/>
      <c r="F105" s="447"/>
      <c r="G105" s="79"/>
      <c r="H105" s="229"/>
      <c r="I105" s="483"/>
      <c r="J105" s="1"/>
    </row>
    <row r="106" spans="1:10" ht="52.5" customHeight="1">
      <c r="A106" s="1"/>
      <c r="B106" s="78" t="s">
        <v>726</v>
      </c>
      <c r="C106" s="77" t="s">
        <v>727</v>
      </c>
      <c r="D106" s="77" t="s">
        <v>728</v>
      </c>
      <c r="E106" s="446"/>
      <c r="F106" s="447"/>
      <c r="G106" s="79"/>
      <c r="H106" s="229"/>
      <c r="I106" s="483"/>
      <c r="J106" s="1"/>
    </row>
    <row r="107" spans="1:10" ht="52.5" customHeight="1">
      <c r="A107" s="1"/>
      <c r="B107" s="78"/>
      <c r="C107" s="77" t="s">
        <v>1590</v>
      </c>
      <c r="D107" s="77" t="s">
        <v>1591</v>
      </c>
      <c r="E107" s="446"/>
      <c r="F107" s="447"/>
      <c r="G107" s="79"/>
      <c r="H107" s="229"/>
      <c r="I107" s="483"/>
      <c r="J107" s="1"/>
    </row>
    <row r="108" spans="1:10" ht="37.5" customHeight="1">
      <c r="A108" s="1"/>
      <c r="B108" s="78" t="s">
        <v>729</v>
      </c>
      <c r="C108" s="77" t="s">
        <v>730</v>
      </c>
      <c r="D108" s="77" t="s">
        <v>731</v>
      </c>
      <c r="E108" s="446"/>
      <c r="F108" s="447"/>
      <c r="G108" s="79"/>
      <c r="H108" s="229"/>
      <c r="I108" s="483"/>
      <c r="J108" s="1"/>
    </row>
    <row r="109" spans="1:10" ht="36.75" customHeight="1">
      <c r="A109" s="1"/>
      <c r="B109" s="78" t="s">
        <v>732</v>
      </c>
      <c r="C109" s="77" t="s">
        <v>733</v>
      </c>
      <c r="D109" s="77" t="s">
        <v>734</v>
      </c>
      <c r="E109" s="446"/>
      <c r="F109" s="447"/>
      <c r="G109" s="79"/>
      <c r="H109" s="229"/>
      <c r="I109" s="483"/>
      <c r="J109" s="1"/>
    </row>
    <row r="110" spans="1:10" ht="104.25" customHeight="1">
      <c r="A110" s="1"/>
      <c r="B110" s="78" t="s">
        <v>735</v>
      </c>
      <c r="C110" s="77" t="s">
        <v>1623</v>
      </c>
      <c r="D110" s="77" t="s">
        <v>1622</v>
      </c>
      <c r="E110" s="446"/>
      <c r="F110" s="447"/>
      <c r="G110" s="79"/>
      <c r="H110" s="229"/>
      <c r="I110" s="483"/>
      <c r="J110" s="1"/>
    </row>
    <row r="111" spans="1:10" ht="100.5" customHeight="1">
      <c r="A111" s="1"/>
      <c r="B111" s="78" t="s">
        <v>736</v>
      </c>
      <c r="C111" s="77" t="s">
        <v>737</v>
      </c>
      <c r="D111" s="77" t="s">
        <v>738</v>
      </c>
      <c r="E111" s="446"/>
      <c r="F111" s="447"/>
      <c r="G111" s="79"/>
      <c r="H111" s="229"/>
      <c r="I111" s="483"/>
      <c r="J111" s="1"/>
    </row>
    <row r="112" spans="1:10" ht="153.65" customHeight="1">
      <c r="A112" s="1"/>
      <c r="B112" s="78" t="s">
        <v>739</v>
      </c>
      <c r="C112" s="77" t="s">
        <v>1584</v>
      </c>
      <c r="D112" s="77" t="s">
        <v>1577</v>
      </c>
      <c r="E112" s="446"/>
      <c r="F112" s="447"/>
      <c r="G112" s="79"/>
      <c r="H112" s="229"/>
      <c r="I112" s="483"/>
      <c r="J112" s="1"/>
    </row>
    <row r="113" spans="1:10" ht="251.5" customHeight="1">
      <c r="A113" s="1"/>
      <c r="B113" s="78" t="s">
        <v>741</v>
      </c>
      <c r="C113" s="77" t="s">
        <v>1600</v>
      </c>
      <c r="D113" s="77" t="s">
        <v>1576</v>
      </c>
      <c r="E113" s="446"/>
      <c r="F113" s="447"/>
      <c r="G113" s="79"/>
      <c r="H113" s="229"/>
      <c r="I113" s="483"/>
      <c r="J113" s="1"/>
    </row>
    <row r="114" spans="1:10" ht="150.65" customHeight="1">
      <c r="A114" s="1"/>
      <c r="B114" s="78" t="s">
        <v>743</v>
      </c>
      <c r="C114" s="77" t="s">
        <v>1585</v>
      </c>
      <c r="D114" s="77" t="s">
        <v>1586</v>
      </c>
      <c r="E114" s="446"/>
      <c r="F114" s="447"/>
      <c r="G114" s="79"/>
      <c r="H114" s="229"/>
      <c r="I114" s="483"/>
      <c r="J114" s="1"/>
    </row>
    <row r="115" spans="1:10" ht="65.5" customHeight="1">
      <c r="A115" s="1"/>
      <c r="B115" s="78" t="s">
        <v>745</v>
      </c>
      <c r="C115" s="77" t="s">
        <v>1589</v>
      </c>
      <c r="D115" s="77" t="s">
        <v>1592</v>
      </c>
      <c r="E115" s="446"/>
      <c r="F115" s="447"/>
      <c r="G115" s="79"/>
      <c r="H115" s="229"/>
      <c r="I115" s="483"/>
      <c r="J115" s="1"/>
    </row>
    <row r="116" spans="1:10" ht="60" customHeight="1">
      <c r="A116" s="1"/>
      <c r="B116" s="78" t="s">
        <v>748</v>
      </c>
      <c r="C116" s="77" t="s">
        <v>746</v>
      </c>
      <c r="D116" s="77" t="s">
        <v>747</v>
      </c>
      <c r="E116" s="446"/>
      <c r="F116" s="447"/>
      <c r="G116" s="79"/>
      <c r="H116" s="229"/>
      <c r="I116" s="483"/>
      <c r="J116" s="1"/>
    </row>
    <row r="117" spans="1:10" ht="42" customHeight="1">
      <c r="A117" s="1"/>
      <c r="B117" s="78" t="s">
        <v>751</v>
      </c>
      <c r="C117" s="77" t="s">
        <v>749</v>
      </c>
      <c r="D117" s="77" t="s">
        <v>750</v>
      </c>
      <c r="E117" s="446"/>
      <c r="F117" s="447"/>
      <c r="G117" s="79"/>
      <c r="H117" s="229"/>
      <c r="I117" s="483"/>
      <c r="J117" s="1"/>
    </row>
    <row r="118" spans="1:10" ht="73.5" customHeight="1">
      <c r="A118" s="1"/>
      <c r="B118" s="78" t="s">
        <v>754</v>
      </c>
      <c r="C118" s="77" t="s">
        <v>752</v>
      </c>
      <c r="D118" s="77" t="s">
        <v>753</v>
      </c>
      <c r="E118" s="446"/>
      <c r="F118" s="447"/>
      <c r="G118" s="79"/>
      <c r="H118" s="229"/>
      <c r="I118" s="483"/>
      <c r="J118" s="1"/>
    </row>
    <row r="119" spans="1:10" ht="33.75" customHeight="1">
      <c r="A119" s="1"/>
      <c r="B119" s="78" t="s">
        <v>757</v>
      </c>
      <c r="C119" s="77" t="s">
        <v>755</v>
      </c>
      <c r="D119" s="77" t="s">
        <v>756</v>
      </c>
      <c r="E119" s="446"/>
      <c r="F119" s="447"/>
      <c r="G119" s="79"/>
      <c r="H119" s="229"/>
      <c r="I119" s="483"/>
      <c r="J119" s="1"/>
    </row>
    <row r="120" spans="1:10" ht="31.5" customHeight="1">
      <c r="A120" s="1"/>
      <c r="B120" s="78" t="s">
        <v>760</v>
      </c>
      <c r="C120" s="77" t="s">
        <v>758</v>
      </c>
      <c r="D120" s="77" t="s">
        <v>759</v>
      </c>
      <c r="E120" s="446"/>
      <c r="F120" s="447"/>
      <c r="G120" s="79"/>
      <c r="H120" s="229"/>
      <c r="I120" s="483"/>
      <c r="J120" s="1"/>
    </row>
    <row r="121" spans="1:10" ht="168.65" customHeight="1">
      <c r="A121" s="1"/>
      <c r="B121" s="78" t="s">
        <v>761</v>
      </c>
      <c r="C121" s="77" t="s">
        <v>1593</v>
      </c>
      <c r="D121" s="77" t="s">
        <v>1594</v>
      </c>
      <c r="E121" s="446"/>
      <c r="F121" s="447"/>
      <c r="G121" s="79"/>
      <c r="H121" s="229"/>
      <c r="I121" s="483"/>
      <c r="J121" s="1"/>
    </row>
    <row r="122" spans="1:10" ht="131.5" customHeight="1">
      <c r="A122" s="1"/>
      <c r="B122" s="78" t="s">
        <v>762</v>
      </c>
      <c r="C122" s="77" t="s">
        <v>1595</v>
      </c>
      <c r="D122" s="77" t="s">
        <v>1596</v>
      </c>
      <c r="E122" s="446"/>
      <c r="F122" s="447"/>
      <c r="G122" s="79"/>
      <c r="H122" s="229"/>
      <c r="I122" s="483"/>
      <c r="J122" s="1"/>
    </row>
    <row r="123" spans="1:10" ht="115.4" customHeight="1">
      <c r="A123" s="1"/>
      <c r="B123" s="78" t="s">
        <v>763</v>
      </c>
      <c r="C123" s="77" t="s">
        <v>1597</v>
      </c>
      <c r="D123" s="77" t="s">
        <v>1578</v>
      </c>
      <c r="E123" s="446"/>
      <c r="F123" s="447"/>
      <c r="G123" s="79"/>
      <c r="H123" s="229"/>
      <c r="I123" s="483"/>
      <c r="J123" s="1"/>
    </row>
    <row r="124" spans="1:10" ht="97.4" customHeight="1">
      <c r="A124" s="1"/>
      <c r="B124" s="78" t="s">
        <v>766</v>
      </c>
      <c r="C124" s="77" t="s">
        <v>1598</v>
      </c>
      <c r="D124" s="77" t="s">
        <v>1599</v>
      </c>
      <c r="E124" s="446"/>
      <c r="F124" s="447"/>
      <c r="G124" s="79"/>
      <c r="H124" s="229"/>
      <c r="I124" s="483"/>
      <c r="J124" s="1"/>
    </row>
    <row r="125" spans="1:10" ht="69" customHeight="1">
      <c r="A125" s="1"/>
      <c r="B125" s="78" t="s">
        <v>769</v>
      </c>
      <c r="C125" s="77" t="s">
        <v>764</v>
      </c>
      <c r="D125" s="77" t="s">
        <v>765</v>
      </c>
      <c r="E125" s="446"/>
      <c r="F125" s="447"/>
      <c r="G125" s="79"/>
      <c r="H125" s="229"/>
      <c r="I125" s="483"/>
      <c r="J125" s="1"/>
    </row>
    <row r="126" spans="1:10" ht="50.25" customHeight="1">
      <c r="A126" s="1"/>
      <c r="B126" s="78" t="s">
        <v>1587</v>
      </c>
      <c r="C126" s="77" t="s">
        <v>767</v>
      </c>
      <c r="D126" s="77" t="s">
        <v>768</v>
      </c>
      <c r="E126" s="446"/>
      <c r="F126" s="447"/>
      <c r="G126" s="79"/>
      <c r="H126" s="229"/>
      <c r="I126" s="483"/>
      <c r="J126" s="1"/>
    </row>
    <row r="127" spans="1:10" ht="36.75" customHeight="1">
      <c r="A127" s="1"/>
      <c r="B127" s="78" t="s">
        <v>1588</v>
      </c>
      <c r="C127" s="77" t="s">
        <v>770</v>
      </c>
      <c r="D127" s="77" t="s">
        <v>771</v>
      </c>
      <c r="E127" s="446"/>
      <c r="F127" s="447"/>
      <c r="G127" s="79"/>
      <c r="H127" s="229"/>
      <c r="I127" s="483"/>
      <c r="J127" s="1"/>
    </row>
    <row r="128" spans="1:10" ht="24.65" customHeight="1">
      <c r="A128" s="1"/>
      <c r="B128" s="468" t="s">
        <v>772</v>
      </c>
      <c r="C128" s="469"/>
      <c r="D128" s="469"/>
      <c r="E128" s="469"/>
      <c r="F128" s="469"/>
      <c r="G128" s="469"/>
      <c r="H128" s="470"/>
      <c r="I128" s="483"/>
      <c r="J128" s="1"/>
    </row>
    <row r="129" spans="1:10" ht="31.5" customHeight="1">
      <c r="A129" s="1"/>
      <c r="B129" s="78" t="s">
        <v>773</v>
      </c>
      <c r="C129" s="77" t="s">
        <v>774</v>
      </c>
      <c r="D129" s="77" t="s">
        <v>775</v>
      </c>
      <c r="E129" s="448"/>
      <c r="F129" s="449"/>
      <c r="G129" s="79"/>
      <c r="H129" s="228"/>
      <c r="I129" s="483"/>
      <c r="J129" s="1"/>
    </row>
    <row r="130" spans="1:10" ht="145.4" customHeight="1">
      <c r="A130" s="1"/>
      <c r="B130" s="78" t="s">
        <v>776</v>
      </c>
      <c r="C130" s="77" t="s">
        <v>1601</v>
      </c>
      <c r="D130" s="77" t="s">
        <v>1602</v>
      </c>
      <c r="E130" s="448"/>
      <c r="F130" s="449"/>
      <c r="G130" s="79"/>
      <c r="H130" s="228"/>
      <c r="I130" s="483"/>
      <c r="J130" s="1"/>
    </row>
    <row r="131" spans="1:10" ht="228" customHeight="1">
      <c r="A131" s="1"/>
      <c r="B131" s="78" t="s">
        <v>777</v>
      </c>
      <c r="C131" s="77" t="s">
        <v>1603</v>
      </c>
      <c r="D131" s="38" t="s">
        <v>1604</v>
      </c>
      <c r="E131" s="448"/>
      <c r="F131" s="449"/>
      <c r="G131" s="79"/>
      <c r="H131" s="228"/>
      <c r="I131" s="483"/>
      <c r="J131" s="1"/>
    </row>
    <row r="132" spans="1:10" ht="47.25" customHeight="1">
      <c r="A132" s="1"/>
      <c r="B132" s="78" t="s">
        <v>778</v>
      </c>
      <c r="C132" s="77" t="s">
        <v>779</v>
      </c>
      <c r="D132" s="77" t="s">
        <v>780</v>
      </c>
      <c r="E132" s="448"/>
      <c r="F132" s="449"/>
      <c r="G132" s="79"/>
      <c r="H132" s="228"/>
      <c r="I132" s="483"/>
      <c r="J132" s="1"/>
    </row>
    <row r="133" spans="1:10" ht="39" customHeight="1">
      <c r="A133" s="1"/>
      <c r="B133" s="78" t="s">
        <v>781</v>
      </c>
      <c r="C133" s="77" t="s">
        <v>782</v>
      </c>
      <c r="D133" s="77" t="s">
        <v>783</v>
      </c>
      <c r="E133" s="448"/>
      <c r="F133" s="449"/>
      <c r="G133" s="79"/>
      <c r="H133" s="228"/>
      <c r="I133" s="483"/>
      <c r="J133" s="1"/>
    </row>
    <row r="134" spans="1:10" ht="26.9" customHeight="1">
      <c r="A134" s="1"/>
      <c r="B134" s="468" t="s">
        <v>784</v>
      </c>
      <c r="C134" s="469"/>
      <c r="D134" s="469"/>
      <c r="E134" s="469"/>
      <c r="F134" s="469"/>
      <c r="G134" s="469"/>
      <c r="H134" s="470"/>
      <c r="I134" s="483"/>
      <c r="J134" s="1"/>
    </row>
    <row r="135" spans="1:10" ht="36.75" customHeight="1">
      <c r="A135" s="1"/>
      <c r="B135" s="78" t="s">
        <v>785</v>
      </c>
      <c r="C135" s="77" t="s">
        <v>786</v>
      </c>
      <c r="D135" s="77" t="s">
        <v>787</v>
      </c>
      <c r="E135" s="446"/>
      <c r="F135" s="447"/>
      <c r="G135" s="79"/>
      <c r="H135" s="229"/>
      <c r="I135" s="483"/>
      <c r="J135" s="1"/>
    </row>
    <row r="136" spans="1:10" ht="33" customHeight="1">
      <c r="A136" s="1"/>
      <c r="B136" s="78" t="s">
        <v>788</v>
      </c>
      <c r="C136" s="77" t="s">
        <v>789</v>
      </c>
      <c r="D136" s="77" t="s">
        <v>790</v>
      </c>
      <c r="E136" s="446"/>
      <c r="F136" s="447"/>
      <c r="G136" s="79"/>
      <c r="H136" s="229"/>
      <c r="I136" s="483"/>
      <c r="J136" s="1"/>
    </row>
    <row r="137" spans="1:10" ht="32.25" customHeight="1">
      <c r="A137" s="1"/>
      <c r="B137" s="78" t="s">
        <v>791</v>
      </c>
      <c r="C137" s="77" t="s">
        <v>792</v>
      </c>
      <c r="D137" s="77" t="s">
        <v>793</v>
      </c>
      <c r="E137" s="446"/>
      <c r="F137" s="447"/>
      <c r="G137" s="79"/>
      <c r="H137" s="229"/>
      <c r="I137" s="483"/>
      <c r="J137" s="1"/>
    </row>
    <row r="138" spans="1:10" ht="27" customHeight="1">
      <c r="A138" s="1"/>
      <c r="B138" s="78" t="s">
        <v>794</v>
      </c>
      <c r="C138" s="77" t="s">
        <v>795</v>
      </c>
      <c r="D138" s="77" t="s">
        <v>796</v>
      </c>
      <c r="E138" s="446"/>
      <c r="F138" s="447"/>
      <c r="G138" s="79"/>
      <c r="H138" s="229"/>
      <c r="I138" s="483"/>
      <c r="J138" s="1"/>
    </row>
    <row r="139" spans="1:10" ht="34.5" customHeight="1">
      <c r="A139" s="1"/>
      <c r="B139" s="78" t="s">
        <v>797</v>
      </c>
      <c r="C139" s="77" t="s">
        <v>798</v>
      </c>
      <c r="D139" s="77" t="s">
        <v>799</v>
      </c>
      <c r="E139" s="446"/>
      <c r="F139" s="447"/>
      <c r="G139" s="79"/>
      <c r="H139" s="229"/>
      <c r="I139" s="483"/>
      <c r="J139" s="1"/>
    </row>
    <row r="140" spans="1:10" ht="76.400000000000006" customHeight="1">
      <c r="A140" s="1"/>
      <c r="B140" s="78" t="s">
        <v>800</v>
      </c>
      <c r="C140" s="77" t="s">
        <v>1605</v>
      </c>
      <c r="D140" s="77" t="s">
        <v>1606</v>
      </c>
      <c r="E140" s="446"/>
      <c r="F140" s="447"/>
      <c r="G140" s="79"/>
      <c r="H140" s="229"/>
      <c r="I140" s="483"/>
      <c r="J140" s="1"/>
    </row>
    <row r="141" spans="1:10" ht="55.5" customHeight="1">
      <c r="A141" s="1"/>
      <c r="B141" s="78" t="s">
        <v>801</v>
      </c>
      <c r="C141" s="77" t="s">
        <v>802</v>
      </c>
      <c r="D141" s="77" t="s">
        <v>803</v>
      </c>
      <c r="E141" s="446"/>
      <c r="F141" s="447"/>
      <c r="G141" s="79"/>
      <c r="H141" s="229"/>
      <c r="I141" s="483"/>
      <c r="J141" s="1"/>
    </row>
    <row r="142" spans="1:10" ht="43.5" customHeight="1">
      <c r="A142" s="1"/>
      <c r="B142" s="78" t="s">
        <v>804</v>
      </c>
      <c r="C142" s="77" t="s">
        <v>805</v>
      </c>
      <c r="D142" s="77" t="s">
        <v>806</v>
      </c>
      <c r="E142" s="446"/>
      <c r="F142" s="447"/>
      <c r="G142" s="79"/>
      <c r="H142" s="229"/>
      <c r="I142" s="483"/>
      <c r="J142" s="1"/>
    </row>
    <row r="143" spans="1:10" ht="72" customHeight="1">
      <c r="A143" s="1"/>
      <c r="B143" s="78" t="s">
        <v>807</v>
      </c>
      <c r="C143" s="77" t="s">
        <v>808</v>
      </c>
      <c r="D143" s="77" t="s">
        <v>809</v>
      </c>
      <c r="E143" s="446"/>
      <c r="F143" s="447"/>
      <c r="G143" s="79"/>
      <c r="H143" s="229"/>
      <c r="I143" s="483"/>
      <c r="J143" s="1"/>
    </row>
    <row r="144" spans="1:10" ht="41.25" customHeight="1">
      <c r="A144" s="1"/>
      <c r="B144" s="78" t="s">
        <v>810</v>
      </c>
      <c r="C144" s="77" t="s">
        <v>811</v>
      </c>
      <c r="D144" s="77" t="s">
        <v>812</v>
      </c>
      <c r="E144" s="446"/>
      <c r="F144" s="447"/>
      <c r="G144" s="79"/>
      <c r="H144" s="229"/>
      <c r="I144" s="483"/>
      <c r="J144" s="1"/>
    </row>
    <row r="145" spans="1:10" ht="58">
      <c r="A145" s="1"/>
      <c r="B145" s="78" t="s">
        <v>813</v>
      </c>
      <c r="C145" s="77" t="s">
        <v>1607</v>
      </c>
      <c r="D145" s="77" t="s">
        <v>1608</v>
      </c>
      <c r="E145" s="446"/>
      <c r="F145" s="447"/>
      <c r="G145" s="79"/>
      <c r="H145" s="229"/>
      <c r="I145" s="483"/>
      <c r="J145" s="1"/>
    </row>
    <row r="146" spans="1:10" ht="58.5" customHeight="1">
      <c r="A146" s="1"/>
      <c r="B146" s="78" t="s">
        <v>815</v>
      </c>
      <c r="C146" s="77" t="s">
        <v>816</v>
      </c>
      <c r="D146" s="77" t="s">
        <v>817</v>
      </c>
      <c r="E146" s="446"/>
      <c r="F146" s="447"/>
      <c r="G146" s="79"/>
      <c r="H146" s="229"/>
      <c r="I146" s="483"/>
      <c r="J146" s="1"/>
    </row>
    <row r="147" spans="1:10" ht="349.4" customHeight="1">
      <c r="A147" s="1"/>
      <c r="B147" s="78" t="s">
        <v>818</v>
      </c>
      <c r="C147" s="77" t="s">
        <v>1610</v>
      </c>
      <c r="D147" s="77" t="s">
        <v>1609</v>
      </c>
      <c r="E147" s="446"/>
      <c r="F147" s="447"/>
      <c r="G147" s="79"/>
      <c r="H147" s="229"/>
      <c r="I147" s="483"/>
      <c r="J147" s="1"/>
    </row>
    <row r="148" spans="1:10" ht="125.15" customHeight="1">
      <c r="A148" s="1"/>
      <c r="B148" s="78" t="s">
        <v>819</v>
      </c>
      <c r="C148" s="77" t="s">
        <v>1612</v>
      </c>
      <c r="D148" s="77" t="s">
        <v>1611</v>
      </c>
      <c r="E148" s="446"/>
      <c r="F148" s="447"/>
      <c r="G148" s="79"/>
      <c r="H148" s="229"/>
      <c r="I148" s="483"/>
      <c r="J148" s="1"/>
    </row>
    <row r="149" spans="1:10" ht="121.4" customHeight="1">
      <c r="A149" s="1"/>
      <c r="B149" s="78" t="s">
        <v>820</v>
      </c>
      <c r="C149" s="77" t="s">
        <v>1613</v>
      </c>
      <c r="D149" s="77" t="s">
        <v>1614</v>
      </c>
      <c r="E149" s="446"/>
      <c r="F149" s="447"/>
      <c r="G149" s="79"/>
      <c r="H149" s="229"/>
      <c r="I149" s="483"/>
      <c r="J149" s="1"/>
    </row>
    <row r="150" spans="1:10" ht="32.25" customHeight="1">
      <c r="A150" s="1"/>
      <c r="B150" s="78" t="s">
        <v>821</v>
      </c>
      <c r="C150" s="77" t="s">
        <v>822</v>
      </c>
      <c r="D150" s="77" t="s">
        <v>822</v>
      </c>
      <c r="E150" s="446"/>
      <c r="F150" s="447"/>
      <c r="G150" s="79"/>
      <c r="H150" s="229"/>
      <c r="I150" s="483"/>
      <c r="J150" s="1"/>
    </row>
    <row r="151" spans="1:10" ht="27" customHeight="1">
      <c r="A151" s="1"/>
      <c r="B151" s="78" t="s">
        <v>823</v>
      </c>
      <c r="C151" s="77" t="s">
        <v>824</v>
      </c>
      <c r="D151" s="77" t="s">
        <v>825</v>
      </c>
      <c r="E151" s="446"/>
      <c r="F151" s="447"/>
      <c r="G151" s="79"/>
      <c r="H151" s="229"/>
      <c r="I151" s="483"/>
      <c r="J151" s="1"/>
    </row>
    <row r="152" spans="1:10" ht="60.75" customHeight="1">
      <c r="A152" s="1"/>
      <c r="B152" s="78" t="s">
        <v>826</v>
      </c>
      <c r="C152" s="77" t="s">
        <v>827</v>
      </c>
      <c r="D152" s="77" t="s">
        <v>828</v>
      </c>
      <c r="E152" s="446"/>
      <c r="F152" s="447"/>
      <c r="G152" s="79"/>
      <c r="H152" s="229"/>
      <c r="I152" s="483"/>
      <c r="J152" s="1"/>
    </row>
    <row r="153" spans="1:10" ht="34.5" customHeight="1">
      <c r="A153" s="1"/>
      <c r="B153" s="78" t="s">
        <v>829</v>
      </c>
      <c r="C153" s="77" t="s">
        <v>779</v>
      </c>
      <c r="D153" s="77" t="s">
        <v>780</v>
      </c>
      <c r="E153" s="446"/>
      <c r="F153" s="447"/>
      <c r="G153" s="79"/>
      <c r="H153" s="229"/>
      <c r="I153" s="483"/>
      <c r="J153" s="1"/>
    </row>
    <row r="154" spans="1:10" ht="56.5" customHeight="1" thickBot="1">
      <c r="A154" s="1"/>
      <c r="B154" s="81" t="s">
        <v>830</v>
      </c>
      <c r="C154" s="80" t="s">
        <v>1615</v>
      </c>
      <c r="D154" s="80" t="s">
        <v>1616</v>
      </c>
      <c r="E154" s="446"/>
      <c r="F154" s="447"/>
      <c r="G154" s="82"/>
      <c r="H154" s="231"/>
      <c r="I154" s="483"/>
      <c r="J154" s="1"/>
    </row>
    <row r="155" spans="1:10" ht="26.9" customHeight="1" thickTop="1">
      <c r="A155" s="1"/>
      <c r="B155" s="468" t="s">
        <v>831</v>
      </c>
      <c r="C155" s="469"/>
      <c r="D155" s="469"/>
      <c r="E155" s="469"/>
      <c r="F155" s="469"/>
      <c r="G155" s="469"/>
      <c r="H155" s="470"/>
      <c r="I155" s="483"/>
      <c r="J155" s="1"/>
    </row>
    <row r="156" spans="1:10" ht="58.5" thickBot="1">
      <c r="A156" s="1"/>
      <c r="B156" s="81" t="s">
        <v>832</v>
      </c>
      <c r="C156" s="80" t="s">
        <v>833</v>
      </c>
      <c r="D156" s="80" t="s">
        <v>834</v>
      </c>
      <c r="E156" s="452"/>
      <c r="F156" s="453"/>
      <c r="G156" s="82" t="s">
        <v>835</v>
      </c>
      <c r="H156" s="231"/>
      <c r="I156" s="484"/>
      <c r="J156" s="1"/>
    </row>
    <row r="157" spans="1:10" ht="27.75" customHeight="1" thickTop="1" thickBot="1">
      <c r="A157" s="1"/>
      <c r="B157" s="1"/>
      <c r="C157" s="30"/>
      <c r="D157" s="30"/>
      <c r="E157" s="1"/>
      <c r="F157" s="1"/>
      <c r="G157" s="1"/>
      <c r="H157" s="1"/>
      <c r="I157" s="1"/>
      <c r="J157" s="1"/>
    </row>
    <row r="158" spans="1:10" ht="36" customHeight="1" thickTop="1">
      <c r="A158" s="1"/>
      <c r="B158" s="116" t="s">
        <v>460</v>
      </c>
      <c r="C158" s="117" t="s">
        <v>461</v>
      </c>
      <c r="D158" s="117" t="s">
        <v>462</v>
      </c>
      <c r="E158" s="454" t="s">
        <v>68</v>
      </c>
      <c r="F158" s="454"/>
      <c r="G158" s="232" t="s">
        <v>463</v>
      </c>
      <c r="H158" s="233" t="s">
        <v>673</v>
      </c>
      <c r="I158" s="112" t="s">
        <v>459</v>
      </c>
      <c r="J158" s="1"/>
    </row>
    <row r="159" spans="1:10" ht="36" customHeight="1">
      <c r="A159" s="1"/>
      <c r="B159" s="76" t="s">
        <v>48</v>
      </c>
      <c r="C159" s="471" t="s">
        <v>836</v>
      </c>
      <c r="D159" s="471"/>
      <c r="E159" s="471"/>
      <c r="F159" s="471"/>
      <c r="G159" s="471"/>
      <c r="H159" s="471"/>
      <c r="I159" s="483" t="str">
        <f>IF('1 - General description'!C14="yes","Applicable","N.A")</f>
        <v>Applicable</v>
      </c>
      <c r="J159" s="1"/>
    </row>
    <row r="160" spans="1:10" ht="58">
      <c r="A160" s="1"/>
      <c r="B160" s="78" t="s">
        <v>837</v>
      </c>
      <c r="C160" s="77" t="s">
        <v>838</v>
      </c>
      <c r="D160" s="77" t="s">
        <v>839</v>
      </c>
      <c r="E160" s="472"/>
      <c r="F160" s="447"/>
      <c r="G160" s="79"/>
      <c r="H160" s="229"/>
      <c r="I160" s="483"/>
      <c r="J160" s="1"/>
    </row>
    <row r="161" spans="1:10" ht="43.5">
      <c r="A161" s="1"/>
      <c r="B161" s="78" t="s">
        <v>840</v>
      </c>
      <c r="C161" s="77" t="s">
        <v>841</v>
      </c>
      <c r="D161" s="77" t="s">
        <v>842</v>
      </c>
      <c r="E161" s="472"/>
      <c r="F161" s="447"/>
      <c r="G161" s="79"/>
      <c r="H161" s="229"/>
      <c r="I161" s="483"/>
      <c r="J161" s="1"/>
    </row>
    <row r="162" spans="1:10" ht="58">
      <c r="A162" s="1"/>
      <c r="B162" s="78" t="s">
        <v>843</v>
      </c>
      <c r="C162" s="77" t="s">
        <v>844</v>
      </c>
      <c r="D162" s="77" t="s">
        <v>845</v>
      </c>
      <c r="E162" s="472"/>
      <c r="F162" s="447"/>
      <c r="G162" s="79"/>
      <c r="H162" s="229"/>
      <c r="I162" s="483"/>
      <c r="J162" s="1"/>
    </row>
    <row r="163" spans="1:10" ht="36" customHeight="1">
      <c r="A163" s="1"/>
      <c r="B163" s="78" t="s">
        <v>846</v>
      </c>
      <c r="C163" s="77" t="s">
        <v>847</v>
      </c>
      <c r="D163" s="77" t="s">
        <v>848</v>
      </c>
      <c r="E163" s="472"/>
      <c r="F163" s="447"/>
      <c r="G163" s="79"/>
      <c r="H163" s="229"/>
      <c r="I163" s="483"/>
      <c r="J163" s="1"/>
    </row>
    <row r="164" spans="1:10" ht="36" customHeight="1">
      <c r="A164" s="1"/>
      <c r="B164" s="78" t="s">
        <v>849</v>
      </c>
      <c r="C164" s="77" t="s">
        <v>850</v>
      </c>
      <c r="D164" s="77" t="s">
        <v>851</v>
      </c>
      <c r="E164" s="472"/>
      <c r="F164" s="447"/>
      <c r="G164" s="79"/>
      <c r="H164" s="229"/>
      <c r="I164" s="483"/>
      <c r="J164" s="1"/>
    </row>
    <row r="165" spans="1:10" ht="36" customHeight="1">
      <c r="A165" s="1"/>
      <c r="B165" s="78" t="s">
        <v>852</v>
      </c>
      <c r="C165" s="77" t="s">
        <v>853</v>
      </c>
      <c r="D165" s="77" t="s">
        <v>854</v>
      </c>
      <c r="E165" s="472"/>
      <c r="F165" s="447"/>
      <c r="G165" s="79"/>
      <c r="H165" s="229"/>
      <c r="I165" s="483"/>
      <c r="J165" s="1"/>
    </row>
    <row r="166" spans="1:10" ht="36" customHeight="1">
      <c r="A166" s="1"/>
      <c r="B166" s="78" t="s">
        <v>855</v>
      </c>
      <c r="C166" s="77" t="s">
        <v>856</v>
      </c>
      <c r="D166" s="77" t="s">
        <v>857</v>
      </c>
      <c r="E166" s="472"/>
      <c r="F166" s="447"/>
      <c r="G166" s="79"/>
      <c r="H166" s="229"/>
      <c r="I166" s="483"/>
      <c r="J166" s="1"/>
    </row>
    <row r="167" spans="1:10" ht="36" customHeight="1">
      <c r="A167" s="1"/>
      <c r="B167" s="78" t="s">
        <v>858</v>
      </c>
      <c r="C167" s="77" t="s">
        <v>859</v>
      </c>
      <c r="D167" s="77" t="s">
        <v>860</v>
      </c>
      <c r="E167" s="472"/>
      <c r="F167" s="447"/>
      <c r="G167" s="79"/>
      <c r="H167" s="229"/>
      <c r="I167" s="483"/>
      <c r="J167" s="1"/>
    </row>
    <row r="168" spans="1:10" ht="45" customHeight="1">
      <c r="A168" s="1"/>
      <c r="B168" s="78" t="s">
        <v>861</v>
      </c>
      <c r="C168" s="77" t="s">
        <v>862</v>
      </c>
      <c r="D168" s="77" t="s">
        <v>863</v>
      </c>
      <c r="E168" s="472"/>
      <c r="F168" s="447"/>
      <c r="G168" s="79"/>
      <c r="H168" s="229"/>
      <c r="I168" s="483"/>
      <c r="J168" s="1"/>
    </row>
    <row r="169" spans="1:10" ht="36" customHeight="1">
      <c r="A169" s="1"/>
      <c r="B169" s="78" t="s">
        <v>864</v>
      </c>
      <c r="C169" s="77" t="s">
        <v>865</v>
      </c>
      <c r="D169" s="77" t="s">
        <v>866</v>
      </c>
      <c r="E169" s="472"/>
      <c r="F169" s="447"/>
      <c r="G169" s="79"/>
      <c r="H169" s="229"/>
      <c r="I169" s="483"/>
      <c r="J169" s="1"/>
    </row>
    <row r="170" spans="1:10" ht="36" customHeight="1">
      <c r="A170" s="1"/>
      <c r="B170" s="78" t="s">
        <v>867</v>
      </c>
      <c r="C170" s="77" t="s">
        <v>868</v>
      </c>
      <c r="D170" s="77" t="s">
        <v>869</v>
      </c>
      <c r="E170" s="472"/>
      <c r="F170" s="447"/>
      <c r="G170" s="79"/>
      <c r="H170" s="229"/>
      <c r="I170" s="483"/>
      <c r="J170" s="1"/>
    </row>
    <row r="171" spans="1:10" ht="36" customHeight="1">
      <c r="A171" s="1"/>
      <c r="B171" s="78" t="s">
        <v>870</v>
      </c>
      <c r="C171" s="77" t="s">
        <v>871</v>
      </c>
      <c r="D171" s="77" t="s">
        <v>872</v>
      </c>
      <c r="E171" s="472"/>
      <c r="F171" s="447"/>
      <c r="G171" s="79"/>
      <c r="H171" s="229"/>
      <c r="I171" s="483"/>
      <c r="J171" s="1"/>
    </row>
    <row r="172" spans="1:10" ht="36" customHeight="1">
      <c r="A172" s="1"/>
      <c r="B172" s="78" t="s">
        <v>873</v>
      </c>
      <c r="C172" s="77" t="s">
        <v>874</v>
      </c>
      <c r="D172" s="77" t="s">
        <v>875</v>
      </c>
      <c r="E172" s="472"/>
      <c r="F172" s="447"/>
      <c r="G172" s="79"/>
      <c r="H172" s="229"/>
      <c r="I172" s="483"/>
      <c r="J172" s="1"/>
    </row>
    <row r="173" spans="1:10" ht="36" customHeight="1" thickBot="1">
      <c r="A173" s="1"/>
      <c r="B173" s="81" t="s">
        <v>876</v>
      </c>
      <c r="C173" s="80" t="s">
        <v>877</v>
      </c>
      <c r="D173" s="80" t="s">
        <v>878</v>
      </c>
      <c r="E173" s="485"/>
      <c r="F173" s="486"/>
      <c r="G173" s="277"/>
      <c r="H173" s="230"/>
      <c r="I173" s="483"/>
      <c r="J173" s="1"/>
    </row>
    <row r="174" spans="1:10" ht="36" customHeight="1" thickTop="1" thickBot="1">
      <c r="A174" s="1"/>
      <c r="B174" s="1"/>
      <c r="C174" s="237"/>
      <c r="D174" s="237"/>
      <c r="E174" s="276"/>
      <c r="F174" s="276"/>
      <c r="G174" s="276"/>
      <c r="H174" s="276"/>
      <c r="I174" s="276"/>
      <c r="J174" s="1"/>
    </row>
    <row r="175" spans="1:10" ht="36" customHeight="1" thickTop="1">
      <c r="A175" s="1"/>
      <c r="B175" s="116" t="s">
        <v>460</v>
      </c>
      <c r="C175" s="117" t="s">
        <v>461</v>
      </c>
      <c r="D175" s="117" t="s">
        <v>462</v>
      </c>
      <c r="E175" s="454" t="s">
        <v>68</v>
      </c>
      <c r="F175" s="454"/>
      <c r="G175" s="232" t="s">
        <v>463</v>
      </c>
      <c r="H175" s="233" t="s">
        <v>673</v>
      </c>
      <c r="I175" s="112" t="s">
        <v>459</v>
      </c>
      <c r="J175" s="1"/>
    </row>
    <row r="176" spans="1:10" ht="36" customHeight="1">
      <c r="A176" s="1"/>
      <c r="B176" s="76" t="s">
        <v>879</v>
      </c>
      <c r="C176" s="471" t="s">
        <v>880</v>
      </c>
      <c r="D176" s="471"/>
      <c r="E176" s="471"/>
      <c r="F176" s="471"/>
      <c r="G176" s="471"/>
      <c r="H176" s="471"/>
      <c r="I176" s="483" t="str">
        <f>IF('1 - General description'!F14="yes","Applicable","N.A")</f>
        <v>Applicable</v>
      </c>
      <c r="J176" s="1"/>
    </row>
    <row r="177" spans="1:10" ht="21">
      <c r="A177" s="1"/>
      <c r="B177" s="468" t="s">
        <v>881</v>
      </c>
      <c r="C177" s="469"/>
      <c r="D177" s="469"/>
      <c r="E177" s="469"/>
      <c r="F177" s="469"/>
      <c r="G177" s="469"/>
      <c r="H177" s="470"/>
      <c r="I177" s="483"/>
      <c r="J177" s="1"/>
    </row>
    <row r="178" spans="1:10" ht="133.4" customHeight="1">
      <c r="A178" s="1"/>
      <c r="B178" s="78" t="s">
        <v>882</v>
      </c>
      <c r="C178" s="77" t="s">
        <v>883</v>
      </c>
      <c r="D178" s="77" t="s">
        <v>884</v>
      </c>
      <c r="E178" s="472"/>
      <c r="F178" s="447"/>
      <c r="G178" s="79"/>
      <c r="H178" s="229"/>
      <c r="I178" s="483"/>
      <c r="J178" s="1"/>
    </row>
    <row r="179" spans="1:10" ht="76.400000000000006" customHeight="1">
      <c r="A179" s="1"/>
      <c r="B179" s="78" t="s">
        <v>885</v>
      </c>
      <c r="C179" s="77" t="s">
        <v>886</v>
      </c>
      <c r="D179" s="77" t="s">
        <v>887</v>
      </c>
      <c r="E179" s="472"/>
      <c r="F179" s="447"/>
      <c r="G179" s="79"/>
      <c r="H179" s="229"/>
      <c r="I179" s="483"/>
      <c r="J179" s="1"/>
    </row>
    <row r="180" spans="1:10" ht="53.5" customHeight="1">
      <c r="A180" s="1"/>
      <c r="B180" s="78" t="s">
        <v>888</v>
      </c>
      <c r="C180" s="77" t="s">
        <v>889</v>
      </c>
      <c r="D180" s="77" t="s">
        <v>890</v>
      </c>
      <c r="E180" s="472"/>
      <c r="F180" s="447"/>
      <c r="G180" s="79"/>
      <c r="H180" s="229"/>
      <c r="I180" s="483"/>
      <c r="J180" s="1"/>
    </row>
    <row r="181" spans="1:10" ht="69" customHeight="1">
      <c r="A181" s="1"/>
      <c r="B181" s="78" t="s">
        <v>891</v>
      </c>
      <c r="C181" s="77" t="s">
        <v>892</v>
      </c>
      <c r="D181" s="77" t="s">
        <v>893</v>
      </c>
      <c r="E181" s="472"/>
      <c r="F181" s="447"/>
      <c r="G181" s="79"/>
      <c r="H181" s="229"/>
      <c r="I181" s="483"/>
      <c r="J181" s="1"/>
    </row>
    <row r="182" spans="1:10" ht="36" customHeight="1">
      <c r="A182" s="1"/>
      <c r="B182" s="78" t="s">
        <v>894</v>
      </c>
      <c r="C182" s="77" t="s">
        <v>895</v>
      </c>
      <c r="D182" s="77" t="s">
        <v>896</v>
      </c>
      <c r="E182" s="472"/>
      <c r="F182" s="447"/>
      <c r="G182" s="79"/>
      <c r="H182" s="229"/>
      <c r="I182" s="483"/>
      <c r="J182" s="1"/>
    </row>
    <row r="183" spans="1:10" ht="29">
      <c r="A183" s="1"/>
      <c r="B183" s="78" t="s">
        <v>897</v>
      </c>
      <c r="C183" s="77" t="s">
        <v>898</v>
      </c>
      <c r="D183" s="77" t="s">
        <v>899</v>
      </c>
      <c r="E183" s="472"/>
      <c r="F183" s="447"/>
      <c r="G183" s="79"/>
      <c r="H183" s="229"/>
      <c r="I183" s="483"/>
      <c r="J183" s="1"/>
    </row>
    <row r="184" spans="1:10" ht="51.65" customHeight="1">
      <c r="A184" s="1"/>
      <c r="B184" s="78" t="s">
        <v>900</v>
      </c>
      <c r="C184" s="77" t="s">
        <v>901</v>
      </c>
      <c r="D184" s="77" t="s">
        <v>902</v>
      </c>
      <c r="E184" s="472"/>
      <c r="F184" s="447"/>
      <c r="G184" s="79"/>
      <c r="H184" s="229"/>
      <c r="I184" s="483"/>
      <c r="J184" s="1"/>
    </row>
    <row r="185" spans="1:10" ht="24.65" customHeight="1">
      <c r="A185" s="1"/>
      <c r="B185" s="468" t="s">
        <v>903</v>
      </c>
      <c r="C185" s="469"/>
      <c r="D185" s="469"/>
      <c r="E185" s="469"/>
      <c r="F185" s="469"/>
      <c r="G185" s="469"/>
      <c r="H185" s="470"/>
      <c r="I185" s="483"/>
      <c r="J185" s="1"/>
    </row>
    <row r="186" spans="1:10" ht="55.4" customHeight="1">
      <c r="A186" s="1"/>
      <c r="B186" s="78" t="s">
        <v>904</v>
      </c>
      <c r="C186" s="77" t="s">
        <v>905</v>
      </c>
      <c r="D186" s="77" t="s">
        <v>906</v>
      </c>
      <c r="E186" s="472"/>
      <c r="F186" s="447"/>
      <c r="G186" s="79"/>
      <c r="H186" s="229"/>
      <c r="I186" s="483"/>
      <c r="J186" s="1"/>
    </row>
    <row r="187" spans="1:10" ht="90.65" customHeight="1">
      <c r="A187" s="1"/>
      <c r="B187" s="78" t="s">
        <v>907</v>
      </c>
      <c r="C187" s="77" t="s">
        <v>908</v>
      </c>
      <c r="D187" s="77" t="s">
        <v>909</v>
      </c>
      <c r="E187" s="472"/>
      <c r="F187" s="447"/>
      <c r="G187" s="79"/>
      <c r="H187" s="229"/>
      <c r="I187" s="483"/>
      <c r="J187" s="1"/>
    </row>
    <row r="188" spans="1:10" ht="105" customHeight="1">
      <c r="A188" s="1"/>
      <c r="B188" s="78" t="s">
        <v>910</v>
      </c>
      <c r="C188" s="77" t="s">
        <v>911</v>
      </c>
      <c r="D188" s="77" t="s">
        <v>912</v>
      </c>
      <c r="E188" s="472"/>
      <c r="F188" s="447"/>
      <c r="G188" s="79"/>
      <c r="H188" s="229"/>
      <c r="I188" s="483"/>
      <c r="J188" s="1"/>
    </row>
    <row r="189" spans="1:10" ht="85.4" customHeight="1">
      <c r="A189" s="1"/>
      <c r="B189" s="78" t="s">
        <v>913</v>
      </c>
      <c r="C189" s="77" t="s">
        <v>914</v>
      </c>
      <c r="D189" s="77" t="s">
        <v>915</v>
      </c>
      <c r="E189" s="472"/>
      <c r="F189" s="447"/>
      <c r="G189" s="79"/>
      <c r="H189" s="229"/>
      <c r="I189" s="483"/>
      <c r="J189" s="1"/>
    </row>
    <row r="190" spans="1:10" ht="85.4" customHeight="1">
      <c r="A190" s="1"/>
      <c r="B190" s="78" t="s">
        <v>916</v>
      </c>
      <c r="C190" s="77" t="s">
        <v>917</v>
      </c>
      <c r="D190" s="77" t="s">
        <v>918</v>
      </c>
      <c r="E190" s="472"/>
      <c r="F190" s="447"/>
      <c r="G190" s="79"/>
      <c r="H190" s="229"/>
      <c r="I190" s="483"/>
      <c r="J190" s="1"/>
    </row>
    <row r="191" spans="1:10" ht="69" customHeight="1">
      <c r="A191" s="1"/>
      <c r="B191" s="78" t="s">
        <v>919</v>
      </c>
      <c r="C191" s="77" t="s">
        <v>920</v>
      </c>
      <c r="D191" s="77" t="s">
        <v>921</v>
      </c>
      <c r="E191" s="472"/>
      <c r="F191" s="447"/>
      <c r="G191" s="79"/>
      <c r="H191" s="229"/>
      <c r="I191" s="483"/>
      <c r="J191" s="1"/>
    </row>
    <row r="192" spans="1:10" ht="56.5" customHeight="1" thickBot="1">
      <c r="A192" s="1"/>
      <c r="B192" s="78" t="s">
        <v>922</v>
      </c>
      <c r="C192" s="80" t="s">
        <v>923</v>
      </c>
      <c r="D192" s="80" t="s">
        <v>924</v>
      </c>
      <c r="E192" s="472"/>
      <c r="F192" s="447"/>
      <c r="G192" s="79"/>
      <c r="H192" s="229"/>
      <c r="I192" s="483"/>
      <c r="J192" s="1"/>
    </row>
    <row r="193" spans="1:10" ht="99.65" customHeight="1" thickTop="1">
      <c r="A193" s="1"/>
      <c r="B193" s="78" t="s">
        <v>925</v>
      </c>
      <c r="C193" s="77" t="s">
        <v>926</v>
      </c>
      <c r="D193" s="77" t="s">
        <v>927</v>
      </c>
      <c r="E193" s="472"/>
      <c r="F193" s="447"/>
      <c r="G193" s="79"/>
      <c r="H193" s="229"/>
      <c r="I193" s="483"/>
      <c r="J193" s="1"/>
    </row>
    <row r="194" spans="1:10" ht="85.75" customHeight="1">
      <c r="A194" s="1"/>
      <c r="B194" s="78" t="s">
        <v>928</v>
      </c>
      <c r="C194" s="77" t="s">
        <v>929</v>
      </c>
      <c r="D194" s="77" t="s">
        <v>930</v>
      </c>
      <c r="E194" s="472"/>
      <c r="F194" s="447"/>
      <c r="G194" s="79"/>
      <c r="H194" s="229"/>
      <c r="I194" s="483"/>
      <c r="J194" s="1"/>
    </row>
    <row r="195" spans="1:10" ht="75" customHeight="1">
      <c r="A195" s="1"/>
      <c r="B195" s="78" t="s">
        <v>931</v>
      </c>
      <c r="C195" s="77" t="s">
        <v>932</v>
      </c>
      <c r="D195" s="77" t="s">
        <v>933</v>
      </c>
      <c r="E195" s="472"/>
      <c r="F195" s="447"/>
      <c r="G195" s="79"/>
      <c r="H195" s="229"/>
      <c r="I195" s="483"/>
      <c r="J195" s="1"/>
    </row>
    <row r="196" spans="1:10" ht="88.4" customHeight="1">
      <c r="A196" s="1"/>
      <c r="B196" s="78" t="s">
        <v>934</v>
      </c>
      <c r="C196" s="77" t="s">
        <v>935</v>
      </c>
      <c r="D196" s="77" t="s">
        <v>936</v>
      </c>
      <c r="E196" s="472"/>
      <c r="F196" s="447"/>
      <c r="G196" s="79"/>
      <c r="H196" s="229"/>
      <c r="I196" s="483"/>
      <c r="J196" s="1"/>
    </row>
    <row r="197" spans="1:10" ht="130.5">
      <c r="A197" s="1"/>
      <c r="B197" s="78" t="s">
        <v>937</v>
      </c>
      <c r="C197" s="77" t="s">
        <v>938</v>
      </c>
      <c r="D197" s="77" t="s">
        <v>939</v>
      </c>
      <c r="E197" s="472"/>
      <c r="F197" s="447"/>
      <c r="G197" s="79"/>
      <c r="H197" s="229"/>
      <c r="I197" s="483"/>
      <c r="J197" s="1"/>
    </row>
    <row r="198" spans="1:10" ht="47.5" customHeight="1">
      <c r="A198" s="1"/>
      <c r="B198" s="78" t="s">
        <v>940</v>
      </c>
      <c r="C198" s="77" t="s">
        <v>941</v>
      </c>
      <c r="D198" s="77" t="s">
        <v>942</v>
      </c>
      <c r="E198" s="472"/>
      <c r="F198" s="447"/>
      <c r="G198" s="79"/>
      <c r="H198" s="229"/>
      <c r="I198" s="483"/>
      <c r="J198" s="1"/>
    </row>
    <row r="199" spans="1:10" ht="46.4" customHeight="1">
      <c r="A199" s="1"/>
      <c r="B199" s="78" t="s">
        <v>943</v>
      </c>
      <c r="C199" s="77" t="s">
        <v>944</v>
      </c>
      <c r="D199" s="77" t="s">
        <v>945</v>
      </c>
      <c r="E199" s="472"/>
      <c r="F199" s="447"/>
      <c r="G199" s="79"/>
      <c r="H199" s="229"/>
      <c r="I199" s="483"/>
      <c r="J199" s="1"/>
    </row>
    <row r="200" spans="1:10" ht="58.4" customHeight="1">
      <c r="A200" s="1"/>
      <c r="B200" s="78" t="s">
        <v>946</v>
      </c>
      <c r="C200" s="77" t="s">
        <v>947</v>
      </c>
      <c r="D200" s="77" t="s">
        <v>948</v>
      </c>
      <c r="E200" s="472"/>
      <c r="F200" s="447"/>
      <c r="G200" s="79"/>
      <c r="H200" s="229"/>
      <c r="I200" s="483"/>
      <c r="J200" s="1"/>
    </row>
    <row r="201" spans="1:10" ht="60.65" customHeight="1">
      <c r="A201" s="1"/>
      <c r="B201" s="78" t="s">
        <v>949</v>
      </c>
      <c r="C201" s="77" t="s">
        <v>950</v>
      </c>
      <c r="D201" s="77" t="s">
        <v>951</v>
      </c>
      <c r="E201" s="472"/>
      <c r="F201" s="447"/>
      <c r="G201" s="79"/>
      <c r="H201" s="229"/>
      <c r="I201" s="483"/>
      <c r="J201" s="1"/>
    </row>
    <row r="202" spans="1:10" ht="79.75" customHeight="1">
      <c r="A202" s="1"/>
      <c r="B202" s="78" t="s">
        <v>952</v>
      </c>
      <c r="C202" s="77" t="s">
        <v>953</v>
      </c>
      <c r="D202" s="77" t="s">
        <v>954</v>
      </c>
      <c r="E202" s="472"/>
      <c r="F202" s="447"/>
      <c r="G202" s="79"/>
      <c r="H202" s="229"/>
      <c r="I202" s="483"/>
      <c r="J202" s="1"/>
    </row>
    <row r="203" spans="1:10" ht="40.75" customHeight="1">
      <c r="A203" s="1"/>
      <c r="B203" s="78" t="s">
        <v>955</v>
      </c>
      <c r="C203" s="77" t="s">
        <v>956</v>
      </c>
      <c r="D203" s="77" t="s">
        <v>957</v>
      </c>
      <c r="E203" s="472"/>
      <c r="F203" s="447"/>
      <c r="G203" s="79"/>
      <c r="H203" s="229"/>
      <c r="I203" s="483"/>
      <c r="J203" s="1"/>
    </row>
    <row r="204" spans="1:10" ht="51.65" customHeight="1" thickBot="1">
      <c r="A204" s="1" t="s">
        <v>958</v>
      </c>
      <c r="B204" s="78" t="s">
        <v>959</v>
      </c>
      <c r="C204" s="80" t="s">
        <v>960</v>
      </c>
      <c r="D204" s="80" t="s">
        <v>961</v>
      </c>
      <c r="E204" s="472"/>
      <c r="F204" s="447"/>
      <c r="G204" s="79"/>
      <c r="H204" s="229"/>
      <c r="I204" s="483"/>
      <c r="J204" s="1"/>
    </row>
    <row r="205" spans="1:10" ht="24.65" customHeight="1" thickTop="1">
      <c r="A205" s="1"/>
      <c r="B205" s="468" t="s">
        <v>962</v>
      </c>
      <c r="C205" s="469"/>
      <c r="D205" s="469"/>
      <c r="E205" s="469"/>
      <c r="F205" s="469"/>
      <c r="G205" s="469"/>
      <c r="H205" s="470"/>
      <c r="I205" s="483"/>
      <c r="J205" s="1"/>
    </row>
    <row r="206" spans="1:10" ht="81.650000000000006" customHeight="1">
      <c r="A206" s="1"/>
      <c r="B206" s="78" t="s">
        <v>963</v>
      </c>
      <c r="C206" s="77" t="s">
        <v>964</v>
      </c>
      <c r="D206" s="77" t="s">
        <v>965</v>
      </c>
      <c r="E206" s="472"/>
      <c r="F206" s="447"/>
      <c r="G206" s="79"/>
      <c r="H206" s="229"/>
      <c r="I206" s="483"/>
      <c r="J206" s="1"/>
    </row>
    <row r="207" spans="1:10" ht="140.5" customHeight="1">
      <c r="A207" s="1"/>
      <c r="B207" s="78" t="s">
        <v>966</v>
      </c>
      <c r="C207" s="77" t="s">
        <v>967</v>
      </c>
      <c r="D207" s="77" t="s">
        <v>968</v>
      </c>
      <c r="E207" s="472"/>
      <c r="F207" s="447"/>
      <c r="G207" s="79"/>
      <c r="H207" s="229"/>
      <c r="I207" s="483"/>
      <c r="J207" s="1"/>
    </row>
    <row r="208" spans="1:10" ht="106.4" customHeight="1">
      <c r="A208" s="1"/>
      <c r="B208" s="78" t="s">
        <v>969</v>
      </c>
      <c r="C208" s="77" t="s">
        <v>970</v>
      </c>
      <c r="D208" s="77" t="s">
        <v>971</v>
      </c>
      <c r="E208" s="472"/>
      <c r="F208" s="447"/>
      <c r="G208" s="79"/>
      <c r="H208" s="229"/>
      <c r="I208" s="483"/>
      <c r="J208" s="1"/>
    </row>
    <row r="209" spans="1:10" ht="126.65" customHeight="1">
      <c r="A209" s="1"/>
      <c r="B209" s="78" t="s">
        <v>972</v>
      </c>
      <c r="C209" s="77" t="s">
        <v>973</v>
      </c>
      <c r="D209" s="77" t="s">
        <v>974</v>
      </c>
      <c r="E209" s="472"/>
      <c r="F209" s="447"/>
      <c r="G209" s="79"/>
      <c r="H209" s="229"/>
      <c r="I209" s="483"/>
      <c r="J209" s="1"/>
    </row>
    <row r="210" spans="1:10" ht="77.5" customHeight="1">
      <c r="A210" s="1"/>
      <c r="B210" s="78" t="s">
        <v>975</v>
      </c>
      <c r="C210" s="77" t="s">
        <v>976</v>
      </c>
      <c r="D210" s="77" t="s">
        <v>977</v>
      </c>
      <c r="E210" s="472"/>
      <c r="F210" s="447"/>
      <c r="G210" s="79"/>
      <c r="H210" s="229"/>
      <c r="I210" s="483"/>
      <c r="J210" s="1"/>
    </row>
    <row r="211" spans="1:10" ht="103.75" customHeight="1">
      <c r="A211" s="1"/>
      <c r="B211" s="78" t="s">
        <v>978</v>
      </c>
      <c r="C211" s="77" t="s">
        <v>979</v>
      </c>
      <c r="D211" s="77" t="s">
        <v>980</v>
      </c>
      <c r="E211" s="472"/>
      <c r="F211" s="447"/>
      <c r="G211" s="79"/>
      <c r="H211" s="229"/>
      <c r="I211" s="483"/>
      <c r="J211" s="1"/>
    </row>
    <row r="212" spans="1:10" ht="90.65" customHeight="1">
      <c r="A212" s="1"/>
      <c r="B212" s="78" t="s">
        <v>981</v>
      </c>
      <c r="C212" s="77" t="s">
        <v>982</v>
      </c>
      <c r="D212" s="77" t="s">
        <v>983</v>
      </c>
      <c r="E212" s="472"/>
      <c r="F212" s="447"/>
      <c r="G212" s="79"/>
      <c r="H212" s="229"/>
      <c r="I212" s="483"/>
      <c r="J212" s="1"/>
    </row>
    <row r="213" spans="1:10" ht="70.75" customHeight="1">
      <c r="A213" s="1"/>
      <c r="B213" s="78" t="s">
        <v>984</v>
      </c>
      <c r="C213" s="77" t="s">
        <v>985</v>
      </c>
      <c r="D213" s="77" t="s">
        <v>986</v>
      </c>
      <c r="E213" s="472"/>
      <c r="F213" s="447"/>
      <c r="G213" s="79"/>
      <c r="H213" s="229"/>
      <c r="I213" s="483"/>
      <c r="J213" s="1"/>
    </row>
    <row r="214" spans="1:10" ht="66" customHeight="1" thickBot="1">
      <c r="A214" s="1"/>
      <c r="B214" s="273" t="s">
        <v>987</v>
      </c>
      <c r="C214" s="274" t="s">
        <v>988</v>
      </c>
      <c r="D214" s="274" t="s">
        <v>989</v>
      </c>
      <c r="E214" s="452"/>
      <c r="F214" s="453"/>
      <c r="G214" s="236"/>
      <c r="H214" s="230"/>
      <c r="I214" s="484"/>
      <c r="J214" s="1"/>
    </row>
    <row r="215" spans="1:10" ht="27.75" hidden="1" customHeight="1" thickTop="1" thickBot="1">
      <c r="A215" s="1"/>
      <c r="B215" s="1"/>
      <c r="C215" s="275"/>
      <c r="D215" s="275"/>
      <c r="E215" s="1"/>
      <c r="F215" s="1"/>
      <c r="G215" s="1"/>
      <c r="H215" s="265"/>
      <c r="I215" s="265"/>
      <c r="J215" s="1"/>
    </row>
    <row r="216" spans="1:10" ht="45.75" hidden="1" customHeight="1" thickTop="1">
      <c r="A216" s="1"/>
      <c r="B216" s="116" t="s">
        <v>460</v>
      </c>
      <c r="C216" s="117" t="s">
        <v>461</v>
      </c>
      <c r="D216" s="117" t="s">
        <v>462</v>
      </c>
      <c r="E216" s="454" t="s">
        <v>68</v>
      </c>
      <c r="F216" s="454"/>
      <c r="G216" s="232" t="s">
        <v>463</v>
      </c>
      <c r="H216" s="233" t="s">
        <v>673</v>
      </c>
      <c r="I216" s="112" t="s">
        <v>459</v>
      </c>
      <c r="J216" s="1"/>
    </row>
    <row r="217" spans="1:10" ht="33" hidden="1" customHeight="1">
      <c r="A217" s="1"/>
      <c r="B217" s="76" t="s">
        <v>990</v>
      </c>
      <c r="C217" s="465" t="s">
        <v>991</v>
      </c>
      <c r="D217" s="466"/>
      <c r="E217" s="466"/>
      <c r="F217" s="466"/>
      <c r="G217" s="466"/>
      <c r="H217" s="467"/>
      <c r="I217" s="480"/>
      <c r="J217" s="1"/>
    </row>
    <row r="218" spans="1:10" ht="31.5" hidden="1" customHeight="1">
      <c r="A218" s="1"/>
      <c r="B218" s="78" t="s">
        <v>992</v>
      </c>
      <c r="C218" s="77" t="s">
        <v>718</v>
      </c>
      <c r="D218" s="77" t="s">
        <v>719</v>
      </c>
      <c r="E218" s="446"/>
      <c r="F218" s="447"/>
      <c r="G218" s="79"/>
      <c r="H218" s="229"/>
      <c r="I218" s="481"/>
      <c r="J218" s="1"/>
    </row>
    <row r="219" spans="1:10" ht="32.25" hidden="1" customHeight="1">
      <c r="A219" s="1"/>
      <c r="B219" s="78" t="s">
        <v>993</v>
      </c>
      <c r="C219" s="77" t="s">
        <v>994</v>
      </c>
      <c r="D219" s="77" t="s">
        <v>995</v>
      </c>
      <c r="E219" s="446"/>
      <c r="F219" s="447"/>
      <c r="G219" s="79"/>
      <c r="H219" s="229"/>
      <c r="I219" s="481"/>
      <c r="J219" s="1"/>
    </row>
    <row r="220" spans="1:10" ht="40.5" hidden="1" customHeight="1">
      <c r="A220" s="1"/>
      <c r="B220" s="78" t="s">
        <v>996</v>
      </c>
      <c r="C220" s="77" t="s">
        <v>997</v>
      </c>
      <c r="D220" s="77" t="s">
        <v>998</v>
      </c>
      <c r="E220" s="446"/>
      <c r="F220" s="447"/>
      <c r="G220" s="79"/>
      <c r="H220" s="229"/>
      <c r="I220" s="481"/>
      <c r="J220" s="1"/>
    </row>
    <row r="221" spans="1:10" ht="41.25" hidden="1" customHeight="1">
      <c r="A221" s="1"/>
      <c r="B221" s="78" t="s">
        <v>999</v>
      </c>
      <c r="C221" s="77" t="s">
        <v>1000</v>
      </c>
      <c r="D221" s="77" t="s">
        <v>1001</v>
      </c>
      <c r="E221" s="446"/>
      <c r="F221" s="447"/>
      <c r="G221" s="79"/>
      <c r="H221" s="229"/>
      <c r="I221" s="481"/>
      <c r="J221" s="1"/>
    </row>
    <row r="222" spans="1:10" ht="50.25" hidden="1" customHeight="1">
      <c r="A222" s="1"/>
      <c r="B222" s="78" t="s">
        <v>1002</v>
      </c>
      <c r="C222" s="77" t="s">
        <v>1003</v>
      </c>
      <c r="D222" s="77" t="s">
        <v>1004</v>
      </c>
      <c r="E222" s="446"/>
      <c r="F222" s="447"/>
      <c r="G222" s="79"/>
      <c r="H222" s="229"/>
      <c r="I222" s="481"/>
      <c r="J222" s="1"/>
    </row>
    <row r="223" spans="1:10" ht="47.25" hidden="1" customHeight="1">
      <c r="A223" s="1"/>
      <c r="B223" s="78" t="s">
        <v>1005</v>
      </c>
      <c r="C223" s="77" t="s">
        <v>1006</v>
      </c>
      <c r="D223" s="77" t="s">
        <v>1007</v>
      </c>
      <c r="E223" s="446"/>
      <c r="F223" s="447"/>
      <c r="G223" s="79"/>
      <c r="H223" s="229"/>
      <c r="I223" s="481"/>
      <c r="J223" s="1"/>
    </row>
    <row r="224" spans="1:10" ht="35.25" hidden="1" customHeight="1">
      <c r="A224" s="1"/>
      <c r="B224" s="78" t="s">
        <v>1008</v>
      </c>
      <c r="C224" s="77" t="s">
        <v>1009</v>
      </c>
      <c r="D224" s="77" t="s">
        <v>1010</v>
      </c>
      <c r="E224" s="446"/>
      <c r="F224" s="447"/>
      <c r="G224" s="79"/>
      <c r="H224" s="229"/>
      <c r="I224" s="481"/>
      <c r="J224" s="1"/>
    </row>
    <row r="225" spans="1:10" ht="30" hidden="1" customHeight="1">
      <c r="A225" s="1"/>
      <c r="B225" s="78" t="s">
        <v>1011</v>
      </c>
      <c r="C225" s="77" t="s">
        <v>1012</v>
      </c>
      <c r="D225" s="77" t="s">
        <v>1013</v>
      </c>
      <c r="E225" s="446"/>
      <c r="F225" s="447"/>
      <c r="G225" s="79"/>
      <c r="H225" s="229"/>
      <c r="I225" s="481"/>
      <c r="J225" s="1"/>
    </row>
    <row r="226" spans="1:10" ht="33" hidden="1" customHeight="1">
      <c r="A226" s="1"/>
      <c r="B226" s="78" t="s">
        <v>1014</v>
      </c>
      <c r="C226" s="77" t="s">
        <v>1015</v>
      </c>
      <c r="D226" s="77" t="s">
        <v>1016</v>
      </c>
      <c r="E226" s="446"/>
      <c r="F226" s="447"/>
      <c r="G226" s="79"/>
      <c r="H226" s="229"/>
      <c r="I226" s="481"/>
      <c r="J226" s="1"/>
    </row>
    <row r="227" spans="1:10" ht="33.75" hidden="1" customHeight="1">
      <c r="A227" s="1"/>
      <c r="B227" s="78" t="s">
        <v>1017</v>
      </c>
      <c r="C227" s="77" t="s">
        <v>774</v>
      </c>
      <c r="D227" s="77" t="s">
        <v>775</v>
      </c>
      <c r="E227" s="446"/>
      <c r="F227" s="447"/>
      <c r="G227" s="79"/>
      <c r="H227" s="229"/>
      <c r="I227" s="481"/>
      <c r="J227" s="1"/>
    </row>
    <row r="228" spans="1:10" ht="106.5" hidden="1" customHeight="1">
      <c r="A228" s="1"/>
      <c r="B228" s="78" t="s">
        <v>1018</v>
      </c>
      <c r="C228" s="77" t="s">
        <v>1019</v>
      </c>
      <c r="D228" s="77" t="s">
        <v>1020</v>
      </c>
      <c r="E228" s="446"/>
      <c r="F228" s="447"/>
      <c r="G228" s="79"/>
      <c r="H228" s="229"/>
      <c r="I228" s="481"/>
      <c r="J228" s="1"/>
    </row>
    <row r="229" spans="1:10" ht="99" hidden="1" customHeight="1">
      <c r="A229" s="1"/>
      <c r="B229" s="78" t="s">
        <v>1021</v>
      </c>
      <c r="C229" s="77" t="s">
        <v>1022</v>
      </c>
      <c r="D229" s="77" t="s">
        <v>1023</v>
      </c>
      <c r="E229" s="446"/>
      <c r="F229" s="447"/>
      <c r="G229" s="79"/>
      <c r="H229" s="229"/>
      <c r="I229" s="481"/>
      <c r="J229" s="1"/>
    </row>
    <row r="230" spans="1:10" ht="55.5" hidden="1" customHeight="1">
      <c r="A230" s="1"/>
      <c r="B230" s="78" t="s">
        <v>1024</v>
      </c>
      <c r="C230" s="77" t="s">
        <v>740</v>
      </c>
      <c r="D230" s="77" t="s">
        <v>1025</v>
      </c>
      <c r="E230" s="446"/>
      <c r="F230" s="447"/>
      <c r="G230" s="79"/>
      <c r="H230" s="229"/>
      <c r="I230" s="481"/>
      <c r="J230" s="1"/>
    </row>
    <row r="231" spans="1:10" ht="34.5" hidden="1" customHeight="1">
      <c r="A231" s="1"/>
      <c r="B231" s="78" t="s">
        <v>1026</v>
      </c>
      <c r="C231" s="77" t="s">
        <v>1027</v>
      </c>
      <c r="D231" s="77" t="s">
        <v>1028</v>
      </c>
      <c r="E231" s="446"/>
      <c r="F231" s="447"/>
      <c r="G231" s="79"/>
      <c r="H231" s="229"/>
      <c r="I231" s="481"/>
      <c r="J231" s="1"/>
    </row>
    <row r="232" spans="1:10" ht="34.5" hidden="1" customHeight="1">
      <c r="A232" s="1"/>
      <c r="B232" s="78" t="s">
        <v>1029</v>
      </c>
      <c r="C232" s="77" t="s">
        <v>744</v>
      </c>
      <c r="D232" s="77" t="s">
        <v>1030</v>
      </c>
      <c r="E232" s="446"/>
      <c r="F232" s="447"/>
      <c r="G232" s="79"/>
      <c r="H232" s="229"/>
      <c r="I232" s="481"/>
      <c r="J232" s="1"/>
    </row>
    <row r="233" spans="1:10" ht="63" hidden="1" customHeight="1">
      <c r="A233" s="1"/>
      <c r="B233" s="78" t="s">
        <v>1031</v>
      </c>
      <c r="C233" s="77" t="s">
        <v>746</v>
      </c>
      <c r="D233" s="77" t="s">
        <v>1032</v>
      </c>
      <c r="E233" s="446"/>
      <c r="F233" s="447"/>
      <c r="G233" s="79"/>
      <c r="H233" s="229"/>
      <c r="I233" s="481"/>
      <c r="J233" s="1"/>
    </row>
    <row r="234" spans="1:10" ht="49.5" hidden="1" customHeight="1">
      <c r="A234" s="1"/>
      <c r="B234" s="78" t="s">
        <v>1033</v>
      </c>
      <c r="C234" s="77" t="s">
        <v>749</v>
      </c>
      <c r="D234" s="77" t="s">
        <v>750</v>
      </c>
      <c r="E234" s="446"/>
      <c r="F234" s="447"/>
      <c r="G234" s="79"/>
      <c r="H234" s="229"/>
      <c r="I234" s="481"/>
      <c r="J234" s="1"/>
    </row>
    <row r="235" spans="1:10" ht="46.5" hidden="1" customHeight="1">
      <c r="A235" s="1"/>
      <c r="B235" s="78" t="s">
        <v>1034</v>
      </c>
      <c r="C235" s="77" t="s">
        <v>1035</v>
      </c>
      <c r="D235" s="77" t="s">
        <v>1036</v>
      </c>
      <c r="E235" s="446"/>
      <c r="F235" s="447"/>
      <c r="G235" s="79"/>
      <c r="H235" s="229"/>
      <c r="I235" s="481"/>
      <c r="J235" s="1"/>
    </row>
    <row r="236" spans="1:10" ht="53.25" hidden="1" customHeight="1">
      <c r="A236" s="1"/>
      <c r="B236" s="78" t="s">
        <v>1037</v>
      </c>
      <c r="C236" s="77" t="s">
        <v>1038</v>
      </c>
      <c r="D236" s="77" t="s">
        <v>1039</v>
      </c>
      <c r="E236" s="446"/>
      <c r="F236" s="447"/>
      <c r="G236" s="79"/>
      <c r="H236" s="229"/>
      <c r="I236" s="481"/>
      <c r="J236" s="1"/>
    </row>
    <row r="237" spans="1:10" ht="47.25" hidden="1" customHeight="1" thickBot="1">
      <c r="A237" s="1"/>
      <c r="B237" s="81" t="s">
        <v>1040</v>
      </c>
      <c r="C237" s="77" t="s">
        <v>1041</v>
      </c>
      <c r="D237" s="77" t="s">
        <v>1042</v>
      </c>
      <c r="E237" s="446"/>
      <c r="F237" s="447"/>
      <c r="G237" s="79"/>
      <c r="H237" s="229"/>
      <c r="I237" s="481"/>
      <c r="J237" s="1"/>
    </row>
    <row r="238" spans="1:10" ht="59" hidden="1" thickTop="1" thickBot="1">
      <c r="A238" s="1"/>
      <c r="B238" s="81" t="s">
        <v>1043</v>
      </c>
      <c r="C238" s="80" t="s">
        <v>833</v>
      </c>
      <c r="D238" s="80" t="s">
        <v>834</v>
      </c>
      <c r="E238" s="452"/>
      <c r="F238" s="453"/>
      <c r="G238" s="82" t="s">
        <v>835</v>
      </c>
      <c r="H238" s="231"/>
      <c r="I238" s="482"/>
      <c r="J238" s="1"/>
    </row>
    <row r="239" spans="1:10" ht="25.5" hidden="1" customHeight="1" thickTop="1" thickBot="1">
      <c r="A239" s="1"/>
      <c r="B239" s="1"/>
      <c r="C239" s="30"/>
      <c r="D239" s="30"/>
      <c r="E239" s="1"/>
      <c r="F239" s="1"/>
      <c r="G239" s="1"/>
      <c r="H239" s="1"/>
      <c r="I239" s="265"/>
      <c r="J239" s="1"/>
    </row>
    <row r="240" spans="1:10" ht="38.25" hidden="1" customHeight="1" thickTop="1">
      <c r="A240" s="1"/>
      <c r="B240" s="116" t="s">
        <v>460</v>
      </c>
      <c r="C240" s="117" t="s">
        <v>461</v>
      </c>
      <c r="D240" s="117" t="s">
        <v>462</v>
      </c>
      <c r="E240" s="463" t="s">
        <v>68</v>
      </c>
      <c r="F240" s="464"/>
      <c r="G240" s="232" t="s">
        <v>463</v>
      </c>
      <c r="H240" s="233" t="s">
        <v>673</v>
      </c>
      <c r="I240" s="112" t="s">
        <v>459</v>
      </c>
      <c r="J240" s="1"/>
    </row>
    <row r="241" spans="1:10" s="25" customFormat="1" ht="32.25" hidden="1" customHeight="1">
      <c r="A241" s="24"/>
      <c r="B241" s="76" t="s">
        <v>1044</v>
      </c>
      <c r="C241" s="460" t="s">
        <v>1045</v>
      </c>
      <c r="D241" s="461"/>
      <c r="E241" s="461"/>
      <c r="F241" s="461"/>
      <c r="G241" s="461"/>
      <c r="H241" s="462"/>
      <c r="I241" s="480"/>
      <c r="J241" s="24"/>
    </row>
    <row r="242" spans="1:10" ht="58.5" hidden="1" customHeight="1">
      <c r="A242" s="1"/>
      <c r="B242" s="78" t="s">
        <v>1046</v>
      </c>
      <c r="C242" s="77" t="s">
        <v>1047</v>
      </c>
      <c r="D242" s="77" t="s">
        <v>1048</v>
      </c>
      <c r="E242" s="446"/>
      <c r="F242" s="447"/>
      <c r="G242" s="79"/>
      <c r="H242" s="229"/>
      <c r="I242" s="481"/>
      <c r="J242" s="1"/>
    </row>
    <row r="243" spans="1:10" ht="58" hidden="1">
      <c r="A243" s="1"/>
      <c r="B243" s="78" t="s">
        <v>1049</v>
      </c>
      <c r="C243" s="77" t="s">
        <v>1050</v>
      </c>
      <c r="D243" s="77" t="s">
        <v>1051</v>
      </c>
      <c r="E243" s="446"/>
      <c r="F243" s="447"/>
      <c r="G243" s="79"/>
      <c r="H243" s="229"/>
      <c r="I243" s="481"/>
      <c r="J243" s="1"/>
    </row>
    <row r="244" spans="1:10" ht="48" hidden="1" customHeight="1">
      <c r="A244" s="1"/>
      <c r="B244" s="78" t="s">
        <v>1052</v>
      </c>
      <c r="C244" s="77" t="s">
        <v>1053</v>
      </c>
      <c r="D244" s="77" t="s">
        <v>1054</v>
      </c>
      <c r="E244" s="446"/>
      <c r="F244" s="447"/>
      <c r="G244" s="79"/>
      <c r="H244" s="229"/>
      <c r="I244" s="481"/>
      <c r="J244" s="1"/>
    </row>
    <row r="245" spans="1:10" ht="69.75" hidden="1" customHeight="1">
      <c r="A245" s="1"/>
      <c r="B245" s="78" t="s">
        <v>1055</v>
      </c>
      <c r="C245" s="77" t="s">
        <v>1056</v>
      </c>
      <c r="D245" s="77" t="s">
        <v>1057</v>
      </c>
      <c r="E245" s="446"/>
      <c r="F245" s="447"/>
      <c r="G245" s="79"/>
      <c r="H245" s="229"/>
      <c r="I245" s="481"/>
      <c r="J245" s="1"/>
    </row>
    <row r="246" spans="1:10" ht="99.75" hidden="1" customHeight="1">
      <c r="A246" s="1"/>
      <c r="B246" s="78" t="s">
        <v>1058</v>
      </c>
      <c r="C246" s="77" t="s">
        <v>1059</v>
      </c>
      <c r="D246" s="77" t="s">
        <v>1060</v>
      </c>
      <c r="E246" s="446"/>
      <c r="F246" s="447"/>
      <c r="G246" s="79"/>
      <c r="H246" s="229"/>
      <c r="I246" s="481"/>
      <c r="J246" s="1"/>
    </row>
    <row r="247" spans="1:10" ht="34.5" hidden="1" customHeight="1">
      <c r="A247" s="1"/>
      <c r="B247" s="78" t="s">
        <v>1061</v>
      </c>
      <c r="C247" s="77" t="s">
        <v>1062</v>
      </c>
      <c r="D247" s="77" t="s">
        <v>1063</v>
      </c>
      <c r="E247" s="446"/>
      <c r="F247" s="447"/>
      <c r="G247" s="79"/>
      <c r="H247" s="229"/>
      <c r="I247" s="481"/>
      <c r="J247" s="1"/>
    </row>
    <row r="248" spans="1:10" ht="54" hidden="1" customHeight="1">
      <c r="A248" s="1"/>
      <c r="B248" s="78" t="s">
        <v>1064</v>
      </c>
      <c r="C248" s="77" t="s">
        <v>1065</v>
      </c>
      <c r="D248" s="77" t="s">
        <v>1066</v>
      </c>
      <c r="E248" s="446"/>
      <c r="F248" s="447"/>
      <c r="G248" s="79"/>
      <c r="H248" s="229"/>
      <c r="I248" s="481"/>
      <c r="J248" s="1"/>
    </row>
    <row r="249" spans="1:10" ht="60.75" hidden="1" customHeight="1">
      <c r="A249" s="1"/>
      <c r="B249" s="78" t="s">
        <v>1067</v>
      </c>
      <c r="C249" s="77" t="s">
        <v>1068</v>
      </c>
      <c r="D249" s="77" t="s">
        <v>1069</v>
      </c>
      <c r="E249" s="446"/>
      <c r="F249" s="447"/>
      <c r="G249" s="79"/>
      <c r="H249" s="229"/>
      <c r="I249" s="481"/>
      <c r="J249" s="1"/>
    </row>
    <row r="250" spans="1:10" ht="58.5" hidden="1" customHeight="1">
      <c r="A250" s="1"/>
      <c r="B250" s="78" t="s">
        <v>1070</v>
      </c>
      <c r="C250" s="77" t="s">
        <v>1071</v>
      </c>
      <c r="D250" s="77" t="s">
        <v>1072</v>
      </c>
      <c r="E250" s="446"/>
      <c r="F250" s="447"/>
      <c r="G250" s="79"/>
      <c r="H250" s="229"/>
      <c r="I250" s="481"/>
      <c r="J250" s="1"/>
    </row>
    <row r="251" spans="1:10" ht="33.75" hidden="1" customHeight="1" thickBot="1">
      <c r="A251" s="1"/>
      <c r="B251" s="81" t="s">
        <v>1073</v>
      </c>
      <c r="C251" s="77" t="s">
        <v>1074</v>
      </c>
      <c r="D251" s="77" t="s">
        <v>1075</v>
      </c>
      <c r="E251" s="446"/>
      <c r="F251" s="447"/>
      <c r="G251" s="79"/>
      <c r="H251" s="229"/>
      <c r="I251" s="481"/>
      <c r="J251" s="1"/>
    </row>
    <row r="252" spans="1:10" ht="59" hidden="1" thickTop="1" thickBot="1">
      <c r="A252" s="1"/>
      <c r="B252" s="81" t="s">
        <v>1076</v>
      </c>
      <c r="C252" s="80" t="s">
        <v>833</v>
      </c>
      <c r="D252" s="80" t="s">
        <v>834</v>
      </c>
      <c r="E252" s="452"/>
      <c r="F252" s="453"/>
      <c r="G252" s="82" t="s">
        <v>835</v>
      </c>
      <c r="H252" s="231"/>
      <c r="I252" s="482"/>
      <c r="J252" s="1"/>
    </row>
    <row r="253" spans="1:10" ht="23.25" customHeight="1" thickTop="1" thickBot="1">
      <c r="A253" s="1"/>
      <c r="B253" s="1"/>
      <c r="C253" s="30"/>
      <c r="D253" s="30"/>
      <c r="E253" s="1"/>
      <c r="F253" s="1"/>
      <c r="G253" s="1"/>
      <c r="H253" s="1"/>
      <c r="I253" s="1"/>
      <c r="J253" s="1"/>
    </row>
    <row r="254" spans="1:10" ht="45" customHeight="1" thickTop="1">
      <c r="A254" s="1"/>
      <c r="B254" s="116" t="s">
        <v>460</v>
      </c>
      <c r="C254" s="117" t="s">
        <v>461</v>
      </c>
      <c r="D254" s="117" t="s">
        <v>462</v>
      </c>
      <c r="E254" s="454" t="s">
        <v>68</v>
      </c>
      <c r="F254" s="454"/>
      <c r="G254" s="232" t="s">
        <v>463</v>
      </c>
      <c r="H254" s="233" t="s">
        <v>673</v>
      </c>
      <c r="I254" s="112" t="s">
        <v>459</v>
      </c>
      <c r="J254" s="1"/>
    </row>
    <row r="255" spans="1:10" ht="33.75" customHeight="1">
      <c r="A255" s="1"/>
      <c r="B255" s="92" t="s">
        <v>1077</v>
      </c>
      <c r="C255" s="460" t="s">
        <v>1078</v>
      </c>
      <c r="D255" s="461"/>
      <c r="E255" s="461"/>
      <c r="F255" s="461"/>
      <c r="G255" s="461"/>
      <c r="H255" s="462"/>
      <c r="I255" s="483" t="str">
        <f>IF('1 - General description'!E43="yes","Applicable","N.A")</f>
        <v>Applicable</v>
      </c>
      <c r="J255" s="1"/>
    </row>
    <row r="256" spans="1:10" ht="44.25" customHeight="1">
      <c r="A256" s="1"/>
      <c r="B256" s="88" t="s">
        <v>1079</v>
      </c>
      <c r="C256" s="38" t="s">
        <v>1080</v>
      </c>
      <c r="D256" s="38" t="s">
        <v>1081</v>
      </c>
      <c r="E256" s="446"/>
      <c r="F256" s="447"/>
      <c r="G256" s="79"/>
      <c r="H256" s="229"/>
      <c r="I256" s="483"/>
      <c r="J256" s="1"/>
    </row>
    <row r="257" spans="1:10" ht="33" customHeight="1">
      <c r="A257" s="1"/>
      <c r="B257" s="88" t="s">
        <v>1082</v>
      </c>
      <c r="C257" s="38" t="s">
        <v>1083</v>
      </c>
      <c r="D257" s="38" t="s">
        <v>1084</v>
      </c>
      <c r="E257" s="446"/>
      <c r="F257" s="447"/>
      <c r="G257" s="79"/>
      <c r="H257" s="229"/>
      <c r="I257" s="483"/>
      <c r="J257" s="1"/>
    </row>
    <row r="258" spans="1:10" ht="33" customHeight="1">
      <c r="A258" s="1"/>
      <c r="B258" s="88" t="s">
        <v>1085</v>
      </c>
      <c r="C258" s="38" t="s">
        <v>1086</v>
      </c>
      <c r="D258" s="38" t="s">
        <v>1087</v>
      </c>
      <c r="E258" s="446"/>
      <c r="F258" s="447"/>
      <c r="G258" s="79"/>
      <c r="H258" s="229"/>
      <c r="I258" s="483"/>
      <c r="J258" s="1"/>
    </row>
    <row r="259" spans="1:10" ht="58.5" customHeight="1">
      <c r="A259" s="1"/>
      <c r="B259" s="88" t="s">
        <v>1088</v>
      </c>
      <c r="C259" s="38" t="s">
        <v>1089</v>
      </c>
      <c r="D259" s="38" t="s">
        <v>1090</v>
      </c>
      <c r="E259" s="446"/>
      <c r="F259" s="447"/>
      <c r="G259" s="79"/>
      <c r="H259" s="229"/>
      <c r="I259" s="483"/>
      <c r="J259" s="1"/>
    </row>
    <row r="260" spans="1:10" ht="43.5" customHeight="1">
      <c r="A260" s="1"/>
      <c r="B260" s="88" t="s">
        <v>1091</v>
      </c>
      <c r="C260" s="38" t="s">
        <v>1092</v>
      </c>
      <c r="D260" s="38" t="s">
        <v>1093</v>
      </c>
      <c r="E260" s="446"/>
      <c r="F260" s="447"/>
      <c r="G260" s="79"/>
      <c r="H260" s="229"/>
      <c r="I260" s="483"/>
      <c r="J260" s="1"/>
    </row>
    <row r="261" spans="1:10" ht="42.75" customHeight="1">
      <c r="A261" s="1"/>
      <c r="B261" s="88" t="s">
        <v>1094</v>
      </c>
      <c r="C261" s="38" t="s">
        <v>1095</v>
      </c>
      <c r="D261" s="38" t="s">
        <v>1096</v>
      </c>
      <c r="E261" s="446"/>
      <c r="F261" s="447"/>
      <c r="G261" s="79"/>
      <c r="H261" s="229"/>
      <c r="I261" s="483"/>
      <c r="J261" s="1"/>
    </row>
    <row r="262" spans="1:10" ht="40.5" customHeight="1">
      <c r="A262" s="1"/>
      <c r="B262" s="88" t="s">
        <v>1097</v>
      </c>
      <c r="C262" s="77" t="s">
        <v>742</v>
      </c>
      <c r="D262" s="77" t="s">
        <v>1098</v>
      </c>
      <c r="E262" s="446"/>
      <c r="F262" s="447"/>
      <c r="G262" s="79"/>
      <c r="H262" s="229"/>
      <c r="I262" s="483"/>
      <c r="J262" s="1"/>
    </row>
    <row r="263" spans="1:10" ht="36" customHeight="1">
      <c r="A263" s="1"/>
      <c r="B263" s="88" t="s">
        <v>1099</v>
      </c>
      <c r="C263" s="38" t="s">
        <v>1100</v>
      </c>
      <c r="D263" s="38" t="s">
        <v>1101</v>
      </c>
      <c r="E263" s="446"/>
      <c r="F263" s="447"/>
      <c r="G263" s="79"/>
      <c r="H263" s="229"/>
      <c r="I263" s="483"/>
      <c r="J263" s="1"/>
    </row>
    <row r="264" spans="1:10" ht="40.5" customHeight="1">
      <c r="A264" s="1"/>
      <c r="B264" s="88" t="s">
        <v>1102</v>
      </c>
      <c r="C264" s="38" t="s">
        <v>1103</v>
      </c>
      <c r="D264" s="38" t="s">
        <v>1104</v>
      </c>
      <c r="E264" s="446"/>
      <c r="F264" s="447"/>
      <c r="G264" s="79"/>
      <c r="H264" s="229"/>
      <c r="I264" s="483"/>
      <c r="J264" s="1"/>
    </row>
    <row r="265" spans="1:10" ht="51" customHeight="1">
      <c r="A265" s="1"/>
      <c r="B265" s="88" t="s">
        <v>1105</v>
      </c>
      <c r="C265" s="38" t="s">
        <v>1106</v>
      </c>
      <c r="D265" s="38" t="s">
        <v>1107</v>
      </c>
      <c r="E265" s="446"/>
      <c r="F265" s="447"/>
      <c r="G265" s="79"/>
      <c r="H265" s="229"/>
      <c r="I265" s="483"/>
      <c r="J265" s="1"/>
    </row>
    <row r="266" spans="1:10" ht="45" customHeight="1">
      <c r="A266" s="1"/>
      <c r="B266" s="88" t="s">
        <v>1108</v>
      </c>
      <c r="C266" s="38" t="s">
        <v>1109</v>
      </c>
      <c r="D266" s="38" t="s">
        <v>1110</v>
      </c>
      <c r="E266" s="446"/>
      <c r="F266" s="447"/>
      <c r="G266" s="79"/>
      <c r="H266" s="229"/>
      <c r="I266" s="483"/>
      <c r="J266" s="1"/>
    </row>
    <row r="267" spans="1:10" ht="54.75" customHeight="1">
      <c r="A267" s="1"/>
      <c r="B267" s="88" t="s">
        <v>1111</v>
      </c>
      <c r="C267" s="38" t="s">
        <v>1112</v>
      </c>
      <c r="D267" s="38" t="s">
        <v>1113</v>
      </c>
      <c r="E267" s="446"/>
      <c r="F267" s="447"/>
      <c r="G267" s="79"/>
      <c r="H267" s="229"/>
      <c r="I267" s="483"/>
      <c r="J267" s="1"/>
    </row>
    <row r="268" spans="1:10" ht="40.5" customHeight="1">
      <c r="A268" s="1"/>
      <c r="B268" s="88" t="s">
        <v>1114</v>
      </c>
      <c r="C268" s="38" t="s">
        <v>1115</v>
      </c>
      <c r="D268" s="38" t="s">
        <v>1116</v>
      </c>
      <c r="E268" s="446"/>
      <c r="F268" s="447"/>
      <c r="G268" s="79"/>
      <c r="H268" s="229"/>
      <c r="I268" s="483"/>
      <c r="J268" s="1"/>
    </row>
    <row r="269" spans="1:10" ht="45.75" customHeight="1">
      <c r="A269" s="1"/>
      <c r="B269" s="88" t="s">
        <v>1117</v>
      </c>
      <c r="C269" s="38" t="s">
        <v>1118</v>
      </c>
      <c r="D269" s="38" t="s">
        <v>1119</v>
      </c>
      <c r="E269" s="446"/>
      <c r="F269" s="447"/>
      <c r="G269" s="79"/>
      <c r="H269" s="229"/>
      <c r="I269" s="483"/>
      <c r="J269" s="1"/>
    </row>
    <row r="270" spans="1:10" ht="76.5" customHeight="1">
      <c r="A270" s="1"/>
      <c r="B270" s="88" t="s">
        <v>1120</v>
      </c>
      <c r="C270" s="38" t="s">
        <v>1121</v>
      </c>
      <c r="D270" s="38" t="s">
        <v>1122</v>
      </c>
      <c r="E270" s="446"/>
      <c r="F270" s="447"/>
      <c r="G270" s="79"/>
      <c r="H270" s="229"/>
      <c r="I270" s="483"/>
      <c r="J270" s="1"/>
    </row>
    <row r="271" spans="1:10" ht="46.5" customHeight="1">
      <c r="A271" s="1"/>
      <c r="B271" s="88" t="s">
        <v>1123</v>
      </c>
      <c r="C271" s="38" t="s">
        <v>1124</v>
      </c>
      <c r="D271" s="38" t="s">
        <v>1125</v>
      </c>
      <c r="E271" s="446"/>
      <c r="F271" s="447"/>
      <c r="G271" s="79"/>
      <c r="H271" s="229"/>
      <c r="I271" s="483"/>
      <c r="J271" s="1"/>
    </row>
    <row r="272" spans="1:10" ht="39" customHeight="1">
      <c r="A272" s="1"/>
      <c r="B272" s="88" t="s">
        <v>1126</v>
      </c>
      <c r="C272" s="38" t="s">
        <v>1127</v>
      </c>
      <c r="D272" s="38" t="s">
        <v>1128</v>
      </c>
      <c r="E272" s="446"/>
      <c r="F272" s="447"/>
      <c r="G272" s="79"/>
      <c r="H272" s="229"/>
      <c r="I272" s="483"/>
      <c r="J272" s="1"/>
    </row>
    <row r="273" spans="1:10" ht="27" customHeight="1" thickBot="1">
      <c r="A273" s="1"/>
      <c r="B273" s="89" t="s">
        <v>1129</v>
      </c>
      <c r="C273" s="39" t="s">
        <v>1130</v>
      </c>
      <c r="D273" s="39" t="s">
        <v>1131</v>
      </c>
      <c r="E273" s="452"/>
      <c r="F273" s="453"/>
      <c r="G273" s="82"/>
      <c r="H273" s="231"/>
      <c r="I273" s="483"/>
      <c r="J273" s="1"/>
    </row>
    <row r="274" spans="1:10" ht="25.5" hidden="1" customHeight="1" thickTop="1" thickBot="1">
      <c r="A274" s="1"/>
      <c r="B274" s="1"/>
      <c r="C274" s="30"/>
      <c r="D274" s="30"/>
      <c r="E274" s="1"/>
      <c r="F274" s="1"/>
      <c r="G274" s="1"/>
      <c r="H274" s="1"/>
      <c r="I274" s="265"/>
      <c r="J274" s="1"/>
    </row>
    <row r="275" spans="1:10" ht="42" hidden="1" customHeight="1" thickTop="1">
      <c r="A275" s="1"/>
      <c r="B275" s="116" t="s">
        <v>460</v>
      </c>
      <c r="C275" s="117" t="s">
        <v>461</v>
      </c>
      <c r="D275" s="117" t="s">
        <v>462</v>
      </c>
      <c r="E275" s="454" t="s">
        <v>68</v>
      </c>
      <c r="F275" s="454"/>
      <c r="G275" s="232" t="s">
        <v>463</v>
      </c>
      <c r="H275" s="233" t="s">
        <v>673</v>
      </c>
      <c r="I275" s="112" t="s">
        <v>459</v>
      </c>
      <c r="J275" s="1"/>
    </row>
    <row r="276" spans="1:10" s="25" customFormat="1" ht="40.5" hidden="1" customHeight="1">
      <c r="A276" s="24"/>
      <c r="B276" s="92" t="s">
        <v>1132</v>
      </c>
      <c r="C276" s="455" t="s">
        <v>1133</v>
      </c>
      <c r="D276" s="456"/>
      <c r="E276" s="456"/>
      <c r="F276" s="456"/>
      <c r="G276" s="456"/>
      <c r="H276" s="457"/>
      <c r="I276" s="483" t="str">
        <f>IF('1 - General description'!E38="yes","Applicable","N.A")</f>
        <v>N.A</v>
      </c>
      <c r="J276" s="24"/>
    </row>
    <row r="277" spans="1:10" ht="30" hidden="1" customHeight="1">
      <c r="A277" s="1"/>
      <c r="B277" s="23" t="s">
        <v>1134</v>
      </c>
      <c r="C277" s="38" t="s">
        <v>786</v>
      </c>
      <c r="D277" s="38" t="s">
        <v>787</v>
      </c>
      <c r="E277" s="446"/>
      <c r="F277" s="447"/>
      <c r="G277" s="90"/>
      <c r="H277" s="229"/>
      <c r="I277" s="483"/>
      <c r="J277" s="1"/>
    </row>
    <row r="278" spans="1:10" ht="39.75" hidden="1" customHeight="1">
      <c r="A278" s="1"/>
      <c r="B278" s="23" t="s">
        <v>1135</v>
      </c>
      <c r="C278" s="38" t="s">
        <v>1136</v>
      </c>
      <c r="D278" s="38" t="s">
        <v>1137</v>
      </c>
      <c r="E278" s="446"/>
      <c r="F278" s="447"/>
      <c r="G278" s="90"/>
      <c r="H278" s="229"/>
      <c r="I278" s="483"/>
      <c r="J278" s="1"/>
    </row>
    <row r="279" spans="1:10" ht="54" hidden="1" customHeight="1">
      <c r="A279" s="1"/>
      <c r="B279" s="23" t="s">
        <v>1138</v>
      </c>
      <c r="C279" s="38" t="s">
        <v>1139</v>
      </c>
      <c r="D279" s="38" t="s">
        <v>1140</v>
      </c>
      <c r="E279" s="446"/>
      <c r="F279" s="447"/>
      <c r="G279" s="90"/>
      <c r="H279" s="229"/>
      <c r="I279" s="483"/>
      <c r="J279" s="1"/>
    </row>
    <row r="280" spans="1:10" ht="32.25" hidden="1" customHeight="1">
      <c r="A280" s="1"/>
      <c r="B280" s="23" t="s">
        <v>1141</v>
      </c>
      <c r="C280" s="38" t="s">
        <v>1142</v>
      </c>
      <c r="D280" s="38" t="s">
        <v>1143</v>
      </c>
      <c r="E280" s="446"/>
      <c r="F280" s="447"/>
      <c r="G280" s="90"/>
      <c r="H280" s="229"/>
      <c r="I280" s="483"/>
      <c r="J280" s="1"/>
    </row>
    <row r="281" spans="1:10" ht="44.25" hidden="1" customHeight="1">
      <c r="A281" s="1"/>
      <c r="B281" s="23" t="s">
        <v>1144</v>
      </c>
      <c r="C281" s="38" t="s">
        <v>1145</v>
      </c>
      <c r="D281" s="38" t="s">
        <v>1146</v>
      </c>
      <c r="E281" s="446"/>
      <c r="F281" s="447"/>
      <c r="G281" s="90"/>
      <c r="H281" s="229"/>
      <c r="I281" s="483"/>
      <c r="J281" s="1"/>
    </row>
    <row r="282" spans="1:10" ht="67.5" hidden="1" customHeight="1">
      <c r="A282" s="1"/>
      <c r="B282" s="23" t="s">
        <v>1147</v>
      </c>
      <c r="C282" s="38" t="s">
        <v>1148</v>
      </c>
      <c r="D282" s="38" t="s">
        <v>1149</v>
      </c>
      <c r="E282" s="446"/>
      <c r="F282" s="447"/>
      <c r="G282" s="90"/>
      <c r="H282" s="229"/>
      <c r="I282" s="483"/>
      <c r="J282" s="1"/>
    </row>
    <row r="283" spans="1:10" ht="34.5" hidden="1" customHeight="1">
      <c r="A283" s="1"/>
      <c r="B283" s="23" t="s">
        <v>1150</v>
      </c>
      <c r="C283" s="38" t="s">
        <v>1151</v>
      </c>
      <c r="D283" s="38" t="s">
        <v>1152</v>
      </c>
      <c r="E283" s="446"/>
      <c r="F283" s="447"/>
      <c r="G283" s="90"/>
      <c r="H283" s="229"/>
      <c r="I283" s="483"/>
      <c r="J283" s="1"/>
    </row>
    <row r="284" spans="1:10" ht="68.25" hidden="1" customHeight="1">
      <c r="A284" s="1"/>
      <c r="B284" s="23" t="s">
        <v>1153</v>
      </c>
      <c r="C284" s="38" t="s">
        <v>1154</v>
      </c>
      <c r="D284" s="38" t="s">
        <v>1155</v>
      </c>
      <c r="E284" s="446"/>
      <c r="F284" s="447"/>
      <c r="G284" s="90"/>
      <c r="H284" s="229"/>
      <c r="I284" s="483"/>
      <c r="J284" s="1"/>
    </row>
    <row r="285" spans="1:10" ht="45" hidden="1" customHeight="1">
      <c r="A285" s="1"/>
      <c r="B285" s="23" t="s">
        <v>1156</v>
      </c>
      <c r="C285" s="38" t="s">
        <v>1157</v>
      </c>
      <c r="D285" s="38" t="s">
        <v>1158</v>
      </c>
      <c r="E285" s="446"/>
      <c r="F285" s="447"/>
      <c r="G285" s="90"/>
      <c r="H285" s="229"/>
      <c r="I285" s="483"/>
      <c r="J285" s="1"/>
    </row>
    <row r="286" spans="1:10" ht="44.25" hidden="1" customHeight="1">
      <c r="A286" s="1"/>
      <c r="B286" s="23" t="s">
        <v>1159</v>
      </c>
      <c r="C286" s="38" t="s">
        <v>1160</v>
      </c>
      <c r="D286" s="38" t="s">
        <v>1161</v>
      </c>
      <c r="E286" s="446"/>
      <c r="F286" s="447"/>
      <c r="G286" s="90"/>
      <c r="H286" s="229"/>
      <c r="I286" s="483"/>
      <c r="J286" s="1"/>
    </row>
    <row r="287" spans="1:10" ht="32.25" hidden="1" customHeight="1">
      <c r="A287" s="1"/>
      <c r="B287" s="23" t="s">
        <v>1162</v>
      </c>
      <c r="C287" s="38" t="s">
        <v>744</v>
      </c>
      <c r="D287" s="38" t="s">
        <v>1030</v>
      </c>
      <c r="E287" s="446"/>
      <c r="F287" s="447"/>
      <c r="G287" s="90"/>
      <c r="H287" s="229"/>
      <c r="I287" s="483"/>
      <c r="J287" s="1"/>
    </row>
    <row r="288" spans="1:10" ht="45.75" hidden="1" customHeight="1">
      <c r="A288" s="1"/>
      <c r="B288" s="23" t="s">
        <v>1163</v>
      </c>
      <c r="C288" s="38" t="s">
        <v>1164</v>
      </c>
      <c r="D288" s="38" t="s">
        <v>1165</v>
      </c>
      <c r="E288" s="446"/>
      <c r="F288" s="447"/>
      <c r="G288" s="90"/>
      <c r="H288" s="229"/>
      <c r="I288" s="483"/>
      <c r="J288" s="1"/>
    </row>
    <row r="289" spans="1:10" ht="40.5" hidden="1" customHeight="1">
      <c r="A289" s="1"/>
      <c r="B289" s="23" t="s">
        <v>1166</v>
      </c>
      <c r="C289" s="38" t="s">
        <v>1167</v>
      </c>
      <c r="D289" s="38" t="s">
        <v>1168</v>
      </c>
      <c r="E289" s="446"/>
      <c r="F289" s="447"/>
      <c r="G289" s="90"/>
      <c r="H289" s="229"/>
      <c r="I289" s="483"/>
      <c r="J289" s="1"/>
    </row>
    <row r="290" spans="1:10" ht="90" hidden="1" customHeight="1">
      <c r="A290" s="1"/>
      <c r="B290" s="23" t="s">
        <v>1169</v>
      </c>
      <c r="C290" s="38" t="s">
        <v>1170</v>
      </c>
      <c r="D290" s="38" t="s">
        <v>1171</v>
      </c>
      <c r="E290" s="446"/>
      <c r="F290" s="447"/>
      <c r="G290" s="90"/>
      <c r="H290" s="229"/>
      <c r="I290" s="483"/>
      <c r="J290" s="1"/>
    </row>
    <row r="291" spans="1:10" ht="48.75" hidden="1" customHeight="1">
      <c r="A291" s="1"/>
      <c r="B291" s="23" t="s">
        <v>1172</v>
      </c>
      <c r="C291" s="38" t="s">
        <v>1173</v>
      </c>
      <c r="D291" s="38" t="s">
        <v>1174</v>
      </c>
      <c r="E291" s="446"/>
      <c r="F291" s="447"/>
      <c r="G291" s="90"/>
      <c r="H291" s="229"/>
      <c r="I291" s="483"/>
      <c r="J291" s="1"/>
    </row>
    <row r="292" spans="1:10" ht="40.5" hidden="1" customHeight="1" thickBot="1">
      <c r="A292" s="1"/>
      <c r="B292" s="23" t="s">
        <v>1175</v>
      </c>
      <c r="C292" s="39" t="s">
        <v>758</v>
      </c>
      <c r="D292" s="39" t="s">
        <v>759</v>
      </c>
      <c r="E292" s="452"/>
      <c r="F292" s="453"/>
      <c r="G292" s="91"/>
      <c r="H292" s="231"/>
      <c r="I292" s="484"/>
      <c r="J292" s="1"/>
    </row>
    <row r="293" spans="1:10" ht="22.5" hidden="1" customHeight="1" thickTop="1" thickBot="1">
      <c r="A293" s="1"/>
      <c r="B293" s="265"/>
      <c r="C293" s="30"/>
      <c r="D293" s="30"/>
      <c r="E293" s="1"/>
      <c r="F293" s="1"/>
      <c r="G293" s="1"/>
      <c r="H293" s="1"/>
      <c r="I293" s="1"/>
      <c r="J293" s="1"/>
    </row>
    <row r="294" spans="1:10" ht="47.25" hidden="1" customHeight="1" thickTop="1">
      <c r="A294" s="1"/>
      <c r="B294" s="116" t="s">
        <v>460</v>
      </c>
      <c r="C294" s="117" t="s">
        <v>461</v>
      </c>
      <c r="D294" s="117" t="s">
        <v>462</v>
      </c>
      <c r="E294" s="454" t="s">
        <v>68</v>
      </c>
      <c r="F294" s="454"/>
      <c r="G294" s="232" t="s">
        <v>463</v>
      </c>
      <c r="H294" s="233" t="s">
        <v>673</v>
      </c>
      <c r="I294" s="112" t="s">
        <v>459</v>
      </c>
      <c r="J294" s="1"/>
    </row>
    <row r="295" spans="1:10" ht="45.75" hidden="1" customHeight="1">
      <c r="A295" s="1"/>
      <c r="B295" s="76" t="s">
        <v>1176</v>
      </c>
      <c r="C295" s="455" t="s">
        <v>1177</v>
      </c>
      <c r="D295" s="456"/>
      <c r="E295" s="456"/>
      <c r="F295" s="456"/>
      <c r="G295" s="456"/>
      <c r="H295" s="457"/>
      <c r="I295" s="480"/>
      <c r="J295" s="1"/>
    </row>
    <row r="296" spans="1:10" ht="60" hidden="1" customHeight="1">
      <c r="A296" s="1"/>
      <c r="B296" s="86" t="s">
        <v>1178</v>
      </c>
      <c r="C296" s="38" t="s">
        <v>1179</v>
      </c>
      <c r="D296" s="38" t="s">
        <v>1180</v>
      </c>
      <c r="E296" s="446"/>
      <c r="F296" s="447"/>
      <c r="G296" s="79"/>
      <c r="H296" s="229"/>
      <c r="I296" s="481"/>
      <c r="J296" s="1"/>
    </row>
    <row r="297" spans="1:10" ht="39.75" hidden="1" customHeight="1">
      <c r="A297" s="1"/>
      <c r="B297" s="86" t="s">
        <v>1181</v>
      </c>
      <c r="C297" s="38" t="s">
        <v>1182</v>
      </c>
      <c r="D297" s="38" t="s">
        <v>1183</v>
      </c>
      <c r="E297" s="446"/>
      <c r="F297" s="447"/>
      <c r="G297" s="79"/>
      <c r="H297" s="229"/>
      <c r="I297" s="481"/>
      <c r="J297" s="1"/>
    </row>
    <row r="298" spans="1:10" ht="35.25" hidden="1" customHeight="1">
      <c r="A298" s="1"/>
      <c r="B298" s="86" t="s">
        <v>1184</v>
      </c>
      <c r="C298" s="38" t="s">
        <v>1185</v>
      </c>
      <c r="D298" s="38" t="s">
        <v>1186</v>
      </c>
      <c r="E298" s="446"/>
      <c r="F298" s="447"/>
      <c r="G298" s="79"/>
      <c r="H298" s="229"/>
      <c r="I298" s="481"/>
      <c r="J298" s="1"/>
    </row>
    <row r="299" spans="1:10" ht="37.5" hidden="1" customHeight="1">
      <c r="A299" s="1"/>
      <c r="B299" s="86" t="s">
        <v>1187</v>
      </c>
      <c r="C299" s="38" t="s">
        <v>1188</v>
      </c>
      <c r="D299" s="38" t="s">
        <v>1189</v>
      </c>
      <c r="E299" s="446"/>
      <c r="F299" s="447"/>
      <c r="G299" s="79"/>
      <c r="H299" s="229"/>
      <c r="I299" s="481"/>
      <c r="J299" s="1"/>
    </row>
    <row r="300" spans="1:10" ht="38.25" hidden="1" customHeight="1">
      <c r="A300" s="1"/>
      <c r="B300" s="86" t="s">
        <v>1190</v>
      </c>
      <c r="C300" s="38" t="s">
        <v>1191</v>
      </c>
      <c r="D300" s="38" t="s">
        <v>1192</v>
      </c>
      <c r="E300" s="446"/>
      <c r="F300" s="447"/>
      <c r="G300" s="79"/>
      <c r="H300" s="229"/>
      <c r="I300" s="481"/>
      <c r="J300" s="1"/>
    </row>
    <row r="301" spans="1:10" ht="91.5" hidden="1" customHeight="1">
      <c r="A301" s="1"/>
      <c r="B301" s="86" t="s">
        <v>1193</v>
      </c>
      <c r="C301" s="38" t="s">
        <v>1194</v>
      </c>
      <c r="D301" s="38" t="s">
        <v>1195</v>
      </c>
      <c r="E301" s="446"/>
      <c r="F301" s="447"/>
      <c r="G301" s="79"/>
      <c r="H301" s="229"/>
      <c r="I301" s="481"/>
      <c r="J301" s="1"/>
    </row>
    <row r="302" spans="1:10" ht="39" hidden="1" customHeight="1">
      <c r="A302" s="1"/>
      <c r="B302" s="86" t="s">
        <v>1196</v>
      </c>
      <c r="C302" s="38" t="s">
        <v>1197</v>
      </c>
      <c r="D302" s="38" t="s">
        <v>1198</v>
      </c>
      <c r="E302" s="446"/>
      <c r="F302" s="447"/>
      <c r="G302" s="79"/>
      <c r="H302" s="229"/>
      <c r="I302" s="481"/>
      <c r="J302" s="1"/>
    </row>
    <row r="303" spans="1:10" ht="38.25" hidden="1" customHeight="1">
      <c r="A303" s="1"/>
      <c r="B303" s="86" t="s">
        <v>1199</v>
      </c>
      <c r="C303" s="38" t="s">
        <v>1200</v>
      </c>
      <c r="D303" s="38" t="s">
        <v>1201</v>
      </c>
      <c r="E303" s="446"/>
      <c r="F303" s="447"/>
      <c r="G303" s="79"/>
      <c r="H303" s="229"/>
      <c r="I303" s="481"/>
      <c r="J303" s="1"/>
    </row>
    <row r="304" spans="1:10" ht="33.75" hidden="1" customHeight="1">
      <c r="A304" s="1"/>
      <c r="B304" s="86" t="s">
        <v>1202</v>
      </c>
      <c r="C304" s="38" t="s">
        <v>1203</v>
      </c>
      <c r="D304" s="38" t="s">
        <v>1204</v>
      </c>
      <c r="E304" s="446"/>
      <c r="F304" s="447"/>
      <c r="G304" s="79"/>
      <c r="H304" s="229"/>
      <c r="I304" s="481"/>
      <c r="J304" s="1"/>
    </row>
    <row r="305" spans="1:10" ht="57.75" hidden="1" customHeight="1" thickBot="1">
      <c r="A305" s="1"/>
      <c r="B305" s="272" t="s">
        <v>1205</v>
      </c>
      <c r="C305" s="39" t="s">
        <v>1206</v>
      </c>
      <c r="D305" s="39" t="s">
        <v>1207</v>
      </c>
      <c r="E305" s="452"/>
      <c r="F305" s="453"/>
      <c r="G305" s="82"/>
      <c r="H305" s="231"/>
      <c r="I305" s="482"/>
      <c r="J305" s="1"/>
    </row>
    <row r="306" spans="1:10" ht="26.25" hidden="1" customHeight="1" thickTop="1" thickBot="1">
      <c r="A306" s="1"/>
      <c r="B306" s="265"/>
      <c r="C306" s="30"/>
      <c r="D306" s="30"/>
      <c r="E306" s="1"/>
      <c r="F306" s="1"/>
      <c r="G306" s="1"/>
      <c r="H306" s="1"/>
      <c r="I306" s="1"/>
      <c r="J306" s="1"/>
    </row>
    <row r="307" spans="1:10" ht="39" hidden="1" customHeight="1" thickTop="1">
      <c r="A307" s="1"/>
      <c r="B307" s="116" t="s">
        <v>460</v>
      </c>
      <c r="C307" s="117" t="s">
        <v>461</v>
      </c>
      <c r="D307" s="117" t="s">
        <v>462</v>
      </c>
      <c r="E307" s="454" t="s">
        <v>68</v>
      </c>
      <c r="F307" s="454"/>
      <c r="G307" s="232" t="s">
        <v>463</v>
      </c>
      <c r="H307" s="233" t="s">
        <v>673</v>
      </c>
      <c r="I307" s="112" t="s">
        <v>459</v>
      </c>
      <c r="J307" s="1"/>
    </row>
    <row r="308" spans="1:10" ht="35.25" hidden="1" customHeight="1">
      <c r="A308" s="1"/>
      <c r="B308" s="76" t="s">
        <v>1208</v>
      </c>
      <c r="C308" s="460" t="s">
        <v>1209</v>
      </c>
      <c r="D308" s="461"/>
      <c r="E308" s="461"/>
      <c r="F308" s="461"/>
      <c r="G308" s="461"/>
      <c r="H308" s="462"/>
      <c r="I308" s="480"/>
      <c r="J308" s="1"/>
    </row>
    <row r="309" spans="1:10" hidden="1">
      <c r="A309" s="1"/>
      <c r="B309" s="86" t="s">
        <v>1210</v>
      </c>
      <c r="C309" s="38" t="s">
        <v>1211</v>
      </c>
      <c r="D309" s="38" t="s">
        <v>1212</v>
      </c>
      <c r="E309" s="448"/>
      <c r="F309" s="449"/>
      <c r="G309" s="79"/>
      <c r="H309" s="228"/>
      <c r="I309" s="481"/>
      <c r="J309" s="1"/>
    </row>
    <row r="310" spans="1:10" hidden="1">
      <c r="A310" s="1"/>
      <c r="B310" s="86" t="s">
        <v>1213</v>
      </c>
      <c r="C310" s="38" t="s">
        <v>1214</v>
      </c>
      <c r="D310" s="38" t="s">
        <v>1215</v>
      </c>
      <c r="E310" s="448"/>
      <c r="F310" s="449"/>
      <c r="G310" s="79"/>
      <c r="H310" s="228"/>
      <c r="I310" s="481"/>
      <c r="J310" s="1"/>
    </row>
    <row r="311" spans="1:10" hidden="1">
      <c r="A311" s="1"/>
      <c r="B311" s="86" t="s">
        <v>1216</v>
      </c>
      <c r="C311" s="38" t="s">
        <v>1217</v>
      </c>
      <c r="D311" s="38" t="s">
        <v>1218</v>
      </c>
      <c r="E311" s="448"/>
      <c r="F311" s="449"/>
      <c r="G311" s="79"/>
      <c r="H311" s="228"/>
      <c r="I311" s="481"/>
      <c r="J311" s="1"/>
    </row>
    <row r="312" spans="1:10" ht="29" hidden="1">
      <c r="A312" s="1"/>
      <c r="B312" s="86" t="s">
        <v>1219</v>
      </c>
      <c r="C312" s="38" t="s">
        <v>1220</v>
      </c>
      <c r="D312" s="38" t="s">
        <v>1221</v>
      </c>
      <c r="E312" s="448"/>
      <c r="F312" s="449"/>
      <c r="G312" s="79"/>
      <c r="H312" s="228"/>
      <c r="I312" s="481"/>
      <c r="J312" s="1"/>
    </row>
    <row r="313" spans="1:10" ht="42.75" hidden="1" customHeight="1">
      <c r="A313" s="1"/>
      <c r="B313" s="86" t="s">
        <v>1222</v>
      </c>
      <c r="C313" s="38" t="s">
        <v>1223</v>
      </c>
      <c r="D313" s="38" t="s">
        <v>1224</v>
      </c>
      <c r="E313" s="448"/>
      <c r="F313" s="449"/>
      <c r="G313" s="79"/>
      <c r="H313" s="228"/>
      <c r="I313" s="481"/>
      <c r="J313" s="1"/>
    </row>
    <row r="314" spans="1:10" ht="60.75" hidden="1" customHeight="1">
      <c r="A314" s="1"/>
      <c r="B314" s="86" t="s">
        <v>1225</v>
      </c>
      <c r="C314" s="38" t="s">
        <v>1226</v>
      </c>
      <c r="D314" s="38" t="s">
        <v>1227</v>
      </c>
      <c r="E314" s="448"/>
      <c r="F314" s="449"/>
      <c r="G314" s="79"/>
      <c r="H314" s="228"/>
      <c r="I314" s="481"/>
      <c r="J314" s="1"/>
    </row>
    <row r="315" spans="1:10" ht="46.5" hidden="1" customHeight="1">
      <c r="A315" s="1"/>
      <c r="B315" s="86" t="s">
        <v>1228</v>
      </c>
      <c r="C315" s="38" t="s">
        <v>1229</v>
      </c>
      <c r="D315" s="38" t="s">
        <v>1230</v>
      </c>
      <c r="E315" s="448"/>
      <c r="F315" s="449"/>
      <c r="G315" s="79"/>
      <c r="H315" s="228"/>
      <c r="I315" s="481"/>
      <c r="J315" s="1"/>
    </row>
    <row r="316" spans="1:10" ht="47.25" hidden="1" customHeight="1">
      <c r="A316" s="1"/>
      <c r="B316" s="86" t="s">
        <v>1231</v>
      </c>
      <c r="C316" s="38" t="s">
        <v>1232</v>
      </c>
      <c r="D316" s="38" t="s">
        <v>1233</v>
      </c>
      <c r="E316" s="448"/>
      <c r="F316" s="449"/>
      <c r="G316" s="79"/>
      <c r="H316" s="228"/>
      <c r="I316" s="481"/>
      <c r="J316" s="1"/>
    </row>
    <row r="317" spans="1:10" ht="48" hidden="1" customHeight="1">
      <c r="A317" s="1"/>
      <c r="B317" s="86" t="s">
        <v>1234</v>
      </c>
      <c r="C317" s="38" t="s">
        <v>1235</v>
      </c>
      <c r="D317" s="38" t="s">
        <v>1236</v>
      </c>
      <c r="E317" s="448"/>
      <c r="F317" s="449"/>
      <c r="G317" s="79"/>
      <c r="H317" s="228"/>
      <c r="I317" s="481"/>
      <c r="J317" s="1"/>
    </row>
    <row r="318" spans="1:10" ht="48" hidden="1" customHeight="1">
      <c r="A318" s="1"/>
      <c r="B318" s="86" t="s">
        <v>1237</v>
      </c>
      <c r="C318" s="38" t="s">
        <v>1238</v>
      </c>
      <c r="D318" s="38" t="s">
        <v>1239</v>
      </c>
      <c r="E318" s="255"/>
      <c r="F318" s="256"/>
      <c r="G318" s="79"/>
      <c r="H318" s="228"/>
      <c r="I318" s="481"/>
      <c r="J318" s="1"/>
    </row>
    <row r="319" spans="1:10" ht="46.5" hidden="1" customHeight="1" thickBot="1">
      <c r="A319" s="1"/>
      <c r="B319" s="269" t="s">
        <v>1240</v>
      </c>
      <c r="C319" s="38" t="s">
        <v>1241</v>
      </c>
      <c r="D319" s="38" t="s">
        <v>1242</v>
      </c>
      <c r="E319" s="458"/>
      <c r="F319" s="459"/>
      <c r="G319" s="271"/>
      <c r="H319" s="270"/>
      <c r="I319" s="481"/>
      <c r="J319" s="1"/>
    </row>
    <row r="320" spans="1:10" ht="37.5" hidden="1" customHeight="1" thickTop="1" thickBot="1">
      <c r="A320" s="1"/>
      <c r="B320" s="1"/>
      <c r="C320" s="30"/>
      <c r="D320" s="30"/>
      <c r="E320" s="1"/>
      <c r="F320" s="1"/>
      <c r="G320" s="1"/>
      <c r="H320" s="1"/>
      <c r="I320" s="265"/>
      <c r="J320" s="1"/>
    </row>
    <row r="321" spans="1:10" ht="42.75" hidden="1" customHeight="1" thickTop="1">
      <c r="A321" s="1"/>
      <c r="B321" s="116" t="s">
        <v>460</v>
      </c>
      <c r="C321" s="117" t="s">
        <v>461</v>
      </c>
      <c r="D321" s="117" t="s">
        <v>462</v>
      </c>
      <c r="E321" s="454" t="s">
        <v>68</v>
      </c>
      <c r="F321" s="454"/>
      <c r="G321" s="232" t="s">
        <v>463</v>
      </c>
      <c r="H321" s="233" t="s">
        <v>673</v>
      </c>
      <c r="I321" s="112" t="s">
        <v>459</v>
      </c>
      <c r="J321" s="1"/>
    </row>
    <row r="322" spans="1:10" ht="36" hidden="1" customHeight="1">
      <c r="A322" s="1"/>
      <c r="B322" s="92" t="s">
        <v>1243</v>
      </c>
      <c r="C322" s="455" t="s">
        <v>1244</v>
      </c>
      <c r="D322" s="456"/>
      <c r="E322" s="456"/>
      <c r="F322" s="456"/>
      <c r="G322" s="456"/>
      <c r="H322" s="457"/>
      <c r="I322" s="480"/>
      <c r="J322" s="1"/>
    </row>
    <row r="323" spans="1:10" ht="39.75" hidden="1" customHeight="1">
      <c r="A323" s="1"/>
      <c r="B323" s="86" t="s">
        <v>1245</v>
      </c>
      <c r="C323" s="38" t="s">
        <v>1246</v>
      </c>
      <c r="D323" s="38" t="s">
        <v>1247</v>
      </c>
      <c r="E323" s="446"/>
      <c r="F323" s="447"/>
      <c r="G323" s="79"/>
      <c r="H323" s="229"/>
      <c r="I323" s="481"/>
      <c r="J323" s="1"/>
    </row>
    <row r="324" spans="1:10" ht="84.75" hidden="1" customHeight="1">
      <c r="A324" s="1"/>
      <c r="B324" s="86" t="s">
        <v>1248</v>
      </c>
      <c r="C324" s="38" t="s">
        <v>1249</v>
      </c>
      <c r="D324" s="38" t="s">
        <v>1250</v>
      </c>
      <c r="E324" s="446"/>
      <c r="F324" s="447"/>
      <c r="G324" s="79"/>
      <c r="H324" s="229"/>
      <c r="I324" s="481"/>
      <c r="J324" s="1"/>
    </row>
    <row r="325" spans="1:10" ht="27.75" hidden="1" customHeight="1">
      <c r="A325" s="1"/>
      <c r="B325" s="86" t="s">
        <v>1251</v>
      </c>
      <c r="C325" s="38" t="s">
        <v>1252</v>
      </c>
      <c r="D325" s="38" t="s">
        <v>1253</v>
      </c>
      <c r="E325" s="446"/>
      <c r="F325" s="447"/>
      <c r="G325" s="79"/>
      <c r="H325" s="229"/>
      <c r="I325" s="481"/>
      <c r="J325" s="1"/>
    </row>
    <row r="326" spans="1:10" ht="54.75" hidden="1" customHeight="1">
      <c r="A326" s="1"/>
      <c r="B326" s="86" t="s">
        <v>1254</v>
      </c>
      <c r="C326" s="38" t="s">
        <v>1255</v>
      </c>
      <c r="D326" s="38" t="s">
        <v>1256</v>
      </c>
      <c r="E326" s="446"/>
      <c r="F326" s="447"/>
      <c r="G326" s="79"/>
      <c r="H326" s="229"/>
      <c r="I326" s="481"/>
      <c r="J326" s="1"/>
    </row>
    <row r="327" spans="1:10" ht="51.75" hidden="1" customHeight="1">
      <c r="A327" s="1"/>
      <c r="B327" s="86" t="s">
        <v>1257</v>
      </c>
      <c r="C327" s="38" t="s">
        <v>1145</v>
      </c>
      <c r="D327" s="38" t="s">
        <v>1146</v>
      </c>
      <c r="E327" s="446"/>
      <c r="F327" s="447"/>
      <c r="G327" s="79"/>
      <c r="H327" s="229"/>
      <c r="I327" s="481"/>
      <c r="J327" s="1"/>
    </row>
    <row r="328" spans="1:10" ht="57.75" hidden="1" customHeight="1">
      <c r="A328" s="1"/>
      <c r="B328" s="86" t="s">
        <v>1258</v>
      </c>
      <c r="C328" s="38" t="s">
        <v>1259</v>
      </c>
      <c r="D328" s="38" t="s">
        <v>1260</v>
      </c>
      <c r="E328" s="446"/>
      <c r="F328" s="447"/>
      <c r="G328" s="79"/>
      <c r="H328" s="229"/>
      <c r="I328" s="481"/>
      <c r="J328" s="1"/>
    </row>
    <row r="329" spans="1:10" ht="31.5" hidden="1" customHeight="1">
      <c r="A329" s="1"/>
      <c r="B329" s="86" t="s">
        <v>1261</v>
      </c>
      <c r="C329" s="38" t="s">
        <v>1262</v>
      </c>
      <c r="D329" s="38" t="s">
        <v>1152</v>
      </c>
      <c r="E329" s="446"/>
      <c r="F329" s="447"/>
      <c r="G329" s="79"/>
      <c r="H329" s="229"/>
      <c r="I329" s="481"/>
      <c r="J329" s="1"/>
    </row>
    <row r="330" spans="1:10" ht="30" hidden="1" customHeight="1">
      <c r="A330" s="1"/>
      <c r="B330" s="86" t="s">
        <v>1263</v>
      </c>
      <c r="C330" s="38" t="s">
        <v>1264</v>
      </c>
      <c r="D330" s="38" t="s">
        <v>1265</v>
      </c>
      <c r="E330" s="446"/>
      <c r="F330" s="447"/>
      <c r="G330" s="79"/>
      <c r="H330" s="229"/>
      <c r="I330" s="481"/>
      <c r="J330" s="1"/>
    </row>
    <row r="331" spans="1:10" ht="30.75" hidden="1" customHeight="1">
      <c r="A331" s="1"/>
      <c r="B331" s="86" t="s">
        <v>1266</v>
      </c>
      <c r="C331" s="38" t="s">
        <v>1267</v>
      </c>
      <c r="D331" s="38" t="s">
        <v>1268</v>
      </c>
      <c r="E331" s="446"/>
      <c r="F331" s="447"/>
      <c r="G331" s="79"/>
      <c r="H331" s="229"/>
      <c r="I331" s="481"/>
      <c r="J331" s="1"/>
    </row>
    <row r="332" spans="1:10" ht="59.25" hidden="1" customHeight="1">
      <c r="A332" s="1"/>
      <c r="B332" s="86" t="s">
        <v>1269</v>
      </c>
      <c r="C332" s="38" t="s">
        <v>1270</v>
      </c>
      <c r="D332" s="38" t="s">
        <v>1271</v>
      </c>
      <c r="E332" s="446"/>
      <c r="F332" s="447"/>
      <c r="G332" s="79"/>
      <c r="H332" s="229"/>
      <c r="I332" s="481"/>
      <c r="J332" s="1"/>
    </row>
    <row r="333" spans="1:10" ht="50.25" hidden="1" customHeight="1">
      <c r="A333" s="1"/>
      <c r="B333" s="86" t="s">
        <v>1272</v>
      </c>
      <c r="C333" s="38" t="s">
        <v>1273</v>
      </c>
      <c r="D333" s="38" t="s">
        <v>1274</v>
      </c>
      <c r="E333" s="446"/>
      <c r="F333" s="447"/>
      <c r="G333" s="79"/>
      <c r="H333" s="229"/>
      <c r="I333" s="481"/>
      <c r="J333" s="1"/>
    </row>
    <row r="334" spans="1:10" ht="57" hidden="1" customHeight="1">
      <c r="A334" s="1"/>
      <c r="B334" s="86" t="s">
        <v>1275</v>
      </c>
      <c r="C334" s="38" t="s">
        <v>1276</v>
      </c>
      <c r="D334" s="38" t="s">
        <v>1277</v>
      </c>
      <c r="E334" s="446"/>
      <c r="F334" s="447"/>
      <c r="G334" s="79"/>
      <c r="H334" s="229"/>
      <c r="I334" s="481"/>
      <c r="J334" s="1"/>
    </row>
    <row r="335" spans="1:10" ht="52.5" hidden="1" customHeight="1">
      <c r="A335" s="1"/>
      <c r="B335" s="86" t="s">
        <v>1278</v>
      </c>
      <c r="C335" s="38" t="s">
        <v>1279</v>
      </c>
      <c r="D335" s="38" t="s">
        <v>1280</v>
      </c>
      <c r="E335" s="446"/>
      <c r="F335" s="447"/>
      <c r="G335" s="79"/>
      <c r="H335" s="229"/>
      <c r="I335" s="481"/>
      <c r="J335" s="1"/>
    </row>
    <row r="336" spans="1:10" ht="32.25" hidden="1" customHeight="1">
      <c r="A336" s="1"/>
      <c r="B336" s="86" t="s">
        <v>1281</v>
      </c>
      <c r="C336" s="38" t="s">
        <v>1282</v>
      </c>
      <c r="D336" s="38" t="s">
        <v>1283</v>
      </c>
      <c r="E336" s="446"/>
      <c r="F336" s="447"/>
      <c r="G336" s="79"/>
      <c r="H336" s="229"/>
      <c r="I336" s="481"/>
      <c r="J336" s="1"/>
    </row>
    <row r="337" spans="1:10" ht="44.25" hidden="1" customHeight="1">
      <c r="A337" s="1"/>
      <c r="B337" s="86" t="s">
        <v>1284</v>
      </c>
      <c r="C337" s="38" t="s">
        <v>1285</v>
      </c>
      <c r="D337" s="38" t="s">
        <v>1286</v>
      </c>
      <c r="E337" s="446"/>
      <c r="F337" s="447"/>
      <c r="G337" s="79"/>
      <c r="H337" s="229"/>
      <c r="I337" s="481"/>
      <c r="J337" s="1"/>
    </row>
    <row r="338" spans="1:10" ht="57.75" hidden="1" customHeight="1">
      <c r="A338" s="1"/>
      <c r="B338" s="86" t="s">
        <v>1287</v>
      </c>
      <c r="C338" s="38" t="s">
        <v>1288</v>
      </c>
      <c r="D338" s="38" t="s">
        <v>1289</v>
      </c>
      <c r="E338" s="446"/>
      <c r="F338" s="447"/>
      <c r="G338" s="79"/>
      <c r="H338" s="229"/>
      <c r="I338" s="481"/>
      <c r="J338" s="1"/>
    </row>
    <row r="339" spans="1:10" ht="41.25" hidden="1" customHeight="1" thickBot="1">
      <c r="A339" s="1"/>
      <c r="B339" s="87" t="s">
        <v>1290</v>
      </c>
      <c r="C339" s="39" t="s">
        <v>1291</v>
      </c>
      <c r="D339" s="39" t="s">
        <v>1292</v>
      </c>
      <c r="E339" s="452"/>
      <c r="F339" s="453"/>
      <c r="G339" s="82"/>
      <c r="H339" s="231"/>
      <c r="I339" s="482"/>
      <c r="J339" s="1"/>
    </row>
    <row r="340" spans="1:10" ht="30" hidden="1" customHeight="1" thickTop="1" thickBot="1">
      <c r="A340" s="1"/>
      <c r="B340" s="1"/>
      <c r="C340" s="30"/>
      <c r="D340" s="30"/>
      <c r="E340" s="1"/>
      <c r="F340" s="1"/>
      <c r="G340" s="1"/>
      <c r="H340" s="1"/>
      <c r="I340" s="1"/>
      <c r="J340" s="1"/>
    </row>
    <row r="341" spans="1:10" ht="50.25" hidden="1" customHeight="1" thickTop="1">
      <c r="A341" s="1"/>
      <c r="B341" s="116" t="s">
        <v>460</v>
      </c>
      <c r="C341" s="117" t="s">
        <v>461</v>
      </c>
      <c r="D341" s="117" t="s">
        <v>462</v>
      </c>
      <c r="E341" s="454" t="s">
        <v>68</v>
      </c>
      <c r="F341" s="454"/>
      <c r="G341" s="232" t="s">
        <v>463</v>
      </c>
      <c r="H341" s="233" t="s">
        <v>673</v>
      </c>
      <c r="I341" s="112" t="s">
        <v>459</v>
      </c>
      <c r="J341" s="1"/>
    </row>
    <row r="342" spans="1:10" ht="36" hidden="1" customHeight="1">
      <c r="A342" s="1"/>
      <c r="B342" s="92" t="s">
        <v>1293</v>
      </c>
      <c r="C342" s="455" t="s">
        <v>1294</v>
      </c>
      <c r="D342" s="456"/>
      <c r="E342" s="456"/>
      <c r="F342" s="456"/>
      <c r="G342" s="456"/>
      <c r="H342" s="457"/>
      <c r="I342" s="480"/>
      <c r="J342" s="1"/>
    </row>
    <row r="343" spans="1:10" ht="56.25" hidden="1" customHeight="1">
      <c r="A343" s="1"/>
      <c r="B343" s="86" t="s">
        <v>1295</v>
      </c>
      <c r="C343" s="38" t="s">
        <v>1296</v>
      </c>
      <c r="D343" s="38" t="s">
        <v>1297</v>
      </c>
      <c r="E343" s="446"/>
      <c r="F343" s="447"/>
      <c r="G343" s="79"/>
      <c r="H343" s="229"/>
      <c r="I343" s="481"/>
      <c r="J343" s="1"/>
    </row>
    <row r="344" spans="1:10" ht="69" hidden="1" customHeight="1">
      <c r="A344" s="1"/>
      <c r="B344" s="86" t="s">
        <v>1298</v>
      </c>
      <c r="C344" s="38" t="s">
        <v>1050</v>
      </c>
      <c r="D344" s="38" t="s">
        <v>1299</v>
      </c>
      <c r="E344" s="446"/>
      <c r="F344" s="447"/>
      <c r="G344" s="79"/>
      <c r="H344" s="229"/>
      <c r="I344" s="481"/>
      <c r="J344" s="1"/>
    </row>
    <row r="345" spans="1:10" ht="45.75" hidden="1" customHeight="1">
      <c r="A345" s="1"/>
      <c r="B345" s="86" t="s">
        <v>1300</v>
      </c>
      <c r="C345" s="38" t="s">
        <v>1053</v>
      </c>
      <c r="D345" s="38" t="s">
        <v>1054</v>
      </c>
      <c r="E345" s="446"/>
      <c r="F345" s="447"/>
      <c r="G345" s="79"/>
      <c r="H345" s="229"/>
      <c r="I345" s="481"/>
      <c r="J345" s="1"/>
    </row>
    <row r="346" spans="1:10" ht="69.75" hidden="1" customHeight="1">
      <c r="A346" s="1"/>
      <c r="B346" s="86" t="s">
        <v>1301</v>
      </c>
      <c r="C346" s="38" t="s">
        <v>1056</v>
      </c>
      <c r="D346" s="38" t="s">
        <v>1057</v>
      </c>
      <c r="E346" s="446"/>
      <c r="F346" s="447"/>
      <c r="G346" s="79"/>
      <c r="H346" s="229"/>
      <c r="I346" s="481"/>
      <c r="J346" s="1"/>
    </row>
    <row r="347" spans="1:10" ht="102.75" hidden="1" customHeight="1">
      <c r="A347" s="1"/>
      <c r="B347" s="86" t="s">
        <v>1302</v>
      </c>
      <c r="C347" s="38" t="s">
        <v>1059</v>
      </c>
      <c r="D347" s="38" t="s">
        <v>1060</v>
      </c>
      <c r="E347" s="446"/>
      <c r="F347" s="447"/>
      <c r="G347" s="79"/>
      <c r="H347" s="229"/>
      <c r="I347" s="481"/>
      <c r="J347" s="1"/>
    </row>
    <row r="348" spans="1:10" ht="33.75" hidden="1" customHeight="1">
      <c r="A348" s="1"/>
      <c r="B348" s="86" t="s">
        <v>1303</v>
      </c>
      <c r="C348" s="38" t="s">
        <v>1062</v>
      </c>
      <c r="D348" s="38" t="s">
        <v>1063</v>
      </c>
      <c r="E348" s="446"/>
      <c r="F348" s="447"/>
      <c r="G348" s="79"/>
      <c r="H348" s="229"/>
      <c r="I348" s="481"/>
      <c r="J348" s="1"/>
    </row>
    <row r="349" spans="1:10" ht="61.5" hidden="1" customHeight="1">
      <c r="A349" s="1"/>
      <c r="B349" s="86" t="s">
        <v>1304</v>
      </c>
      <c r="C349" s="38" t="s">
        <v>1065</v>
      </c>
      <c r="D349" s="38" t="s">
        <v>1066</v>
      </c>
      <c r="E349" s="446"/>
      <c r="F349" s="447"/>
      <c r="G349" s="79"/>
      <c r="H349" s="229"/>
      <c r="I349" s="481"/>
      <c r="J349" s="1"/>
    </row>
    <row r="350" spans="1:10" ht="57.75" hidden="1" customHeight="1">
      <c r="A350" s="1"/>
      <c r="B350" s="86" t="s">
        <v>1305</v>
      </c>
      <c r="C350" s="38" t="s">
        <v>1068</v>
      </c>
      <c r="D350" s="38" t="s">
        <v>1069</v>
      </c>
      <c r="E350" s="446"/>
      <c r="F350" s="447"/>
      <c r="G350" s="79"/>
      <c r="H350" s="229"/>
      <c r="I350" s="481"/>
      <c r="J350" s="1"/>
    </row>
    <row r="351" spans="1:10" ht="54" hidden="1" customHeight="1">
      <c r="A351" s="1"/>
      <c r="B351" s="86" t="s">
        <v>1306</v>
      </c>
      <c r="C351" s="38" t="s">
        <v>1307</v>
      </c>
      <c r="D351" s="38" t="s">
        <v>1308</v>
      </c>
      <c r="E351" s="446"/>
      <c r="F351" s="447"/>
      <c r="G351" s="79"/>
      <c r="H351" s="229"/>
      <c r="I351" s="481"/>
      <c r="J351" s="1"/>
    </row>
    <row r="352" spans="1:10" ht="42.75" hidden="1" customHeight="1">
      <c r="A352" s="1"/>
      <c r="B352" s="86" t="s">
        <v>1309</v>
      </c>
      <c r="C352" s="38" t="s">
        <v>1310</v>
      </c>
      <c r="D352" s="38" t="s">
        <v>1292</v>
      </c>
      <c r="E352" s="446"/>
      <c r="F352" s="447"/>
      <c r="G352" s="79"/>
      <c r="H352" s="229"/>
      <c r="I352" s="481"/>
      <c r="J352" s="1"/>
    </row>
    <row r="353" spans="1:10" ht="55.5" hidden="1" customHeight="1">
      <c r="A353" s="1"/>
      <c r="B353" s="86" t="s">
        <v>1311</v>
      </c>
      <c r="C353" s="38" t="s">
        <v>1312</v>
      </c>
      <c r="D353" s="38" t="s">
        <v>1313</v>
      </c>
      <c r="E353" s="446"/>
      <c r="F353" s="447"/>
      <c r="G353" s="79"/>
      <c r="H353" s="229"/>
      <c r="I353" s="481"/>
      <c r="J353" s="1"/>
    </row>
    <row r="354" spans="1:10" ht="31.5" hidden="1" customHeight="1">
      <c r="A354" s="1"/>
      <c r="B354" s="86" t="s">
        <v>1314</v>
      </c>
      <c r="C354" s="38" t="s">
        <v>1074</v>
      </c>
      <c r="D354" s="38" t="s">
        <v>1075</v>
      </c>
      <c r="E354" s="446"/>
      <c r="F354" s="447"/>
      <c r="G354" s="79"/>
      <c r="H354" s="229"/>
      <c r="I354" s="481"/>
      <c r="J354" s="1"/>
    </row>
    <row r="355" spans="1:10" ht="63" hidden="1" customHeight="1" thickBot="1">
      <c r="A355" s="1"/>
      <c r="B355" s="87" t="s">
        <v>1315</v>
      </c>
      <c r="C355" s="39" t="s">
        <v>1316</v>
      </c>
      <c r="D355" s="39" t="s">
        <v>1317</v>
      </c>
      <c r="E355" s="452"/>
      <c r="F355" s="453"/>
      <c r="G355" s="82"/>
      <c r="H355" s="231"/>
      <c r="I355" s="482"/>
      <c r="J355" s="1"/>
    </row>
    <row r="356" spans="1:10" ht="39.65" customHeight="1" thickTop="1">
      <c r="A356" s="1"/>
      <c r="B356" s="1"/>
      <c r="C356" s="30"/>
      <c r="D356" s="30"/>
      <c r="E356" s="1"/>
      <c r="F356" s="1"/>
      <c r="G356" s="24"/>
      <c r="H356" s="1"/>
      <c r="I356" s="1"/>
      <c r="J356" s="1"/>
    </row>
    <row r="359" spans="1:10">
      <c r="C359"/>
      <c r="D359"/>
      <c r="G359"/>
    </row>
    <row r="360" spans="1:10">
      <c r="C360"/>
      <c r="D360"/>
      <c r="G360"/>
    </row>
    <row r="361" spans="1:10">
      <c r="C361"/>
      <c r="D361"/>
      <c r="G361"/>
    </row>
    <row r="362" spans="1:10">
      <c r="C362"/>
      <c r="D362"/>
      <c r="G362"/>
    </row>
    <row r="363" spans="1:10">
      <c r="C363"/>
      <c r="D363"/>
      <c r="G363"/>
    </row>
    <row r="364" spans="1:10">
      <c r="C364"/>
      <c r="D364"/>
      <c r="G364"/>
    </row>
    <row r="365" spans="1:10">
      <c r="C365"/>
      <c r="D365"/>
      <c r="G365"/>
    </row>
    <row r="366" spans="1:10">
      <c r="C366"/>
      <c r="D366"/>
      <c r="G366"/>
    </row>
    <row r="367" spans="1:10">
      <c r="C367"/>
      <c r="D367"/>
      <c r="G367"/>
    </row>
    <row r="368" spans="1:10">
      <c r="C368"/>
      <c r="D368"/>
      <c r="G368"/>
    </row>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sheetData>
  <sheetProtection formatColumns="0" formatRows="0" sort="0" autoFilter="0"/>
  <protectedRanges>
    <protectedRange sqref="G56:G58" name="Plage1_1"/>
    <protectedRange sqref="G60:G62" name="Plage1"/>
    <protectedRange sqref="G67:G68" name="Plage1_2"/>
    <protectedRange sqref="G70:G71" name="Plage1_3"/>
  </protectedRanges>
  <mergeCells count="354">
    <mergeCell ref="E51:F51"/>
    <mergeCell ref="E186:F186"/>
    <mergeCell ref="E66:F66"/>
    <mergeCell ref="I101:I156"/>
    <mergeCell ref="E117:F117"/>
    <mergeCell ref="E135:F135"/>
    <mergeCell ref="E136:F136"/>
    <mergeCell ref="E137:F137"/>
    <mergeCell ref="E138:F138"/>
    <mergeCell ref="E139:F139"/>
    <mergeCell ref="E140:F140"/>
    <mergeCell ref="I3:I81"/>
    <mergeCell ref="E47:F47"/>
    <mergeCell ref="C63:H63"/>
    <mergeCell ref="E64:F64"/>
    <mergeCell ref="E65:F65"/>
    <mergeCell ref="E57:F57"/>
    <mergeCell ref="E58:F58"/>
    <mergeCell ref="C59:H59"/>
    <mergeCell ref="E60:F60"/>
    <mergeCell ref="E61:F61"/>
    <mergeCell ref="E62:F62"/>
    <mergeCell ref="I85:I98"/>
    <mergeCell ref="E27:F27"/>
    <mergeCell ref="C50:H50"/>
    <mergeCell ref="E153:F153"/>
    <mergeCell ref="E154:F154"/>
    <mergeCell ref="E156:F156"/>
    <mergeCell ref="E179:F179"/>
    <mergeCell ref="E180:F180"/>
    <mergeCell ref="E181:F181"/>
    <mergeCell ref="E182:F182"/>
    <mergeCell ref="E183:F183"/>
    <mergeCell ref="E52:F52"/>
    <mergeCell ref="E76:F76"/>
    <mergeCell ref="E53:F53"/>
    <mergeCell ref="E84:F84"/>
    <mergeCell ref="E86:F86"/>
    <mergeCell ref="E87:F87"/>
    <mergeCell ref="E88:F88"/>
    <mergeCell ref="E89:F89"/>
    <mergeCell ref="E105:F105"/>
    <mergeCell ref="E106:F106"/>
    <mergeCell ref="E108:F108"/>
    <mergeCell ref="E109:F109"/>
    <mergeCell ref="E92:F92"/>
    <mergeCell ref="E93:F93"/>
    <mergeCell ref="E94:F94"/>
    <mergeCell ref="E110:F110"/>
    <mergeCell ref="E111:F111"/>
    <mergeCell ref="E112:F112"/>
    <mergeCell ref="E113:F113"/>
    <mergeCell ref="E114:F114"/>
    <mergeCell ref="E125:F125"/>
    <mergeCell ref="E115:F115"/>
    <mergeCell ref="E151:F151"/>
    <mergeCell ref="E152:F152"/>
    <mergeCell ref="B134:H134"/>
    <mergeCell ref="E116:F116"/>
    <mergeCell ref="E119:F119"/>
    <mergeCell ref="E197:F197"/>
    <mergeCell ref="E198:F198"/>
    <mergeCell ref="E199:F199"/>
    <mergeCell ref="E200:F200"/>
    <mergeCell ref="B205:H205"/>
    <mergeCell ref="E209:F209"/>
    <mergeCell ref="E210:F210"/>
    <mergeCell ref="E208:F208"/>
    <mergeCell ref="E184:F184"/>
    <mergeCell ref="E187:F187"/>
    <mergeCell ref="E204:F204"/>
    <mergeCell ref="E206:F206"/>
    <mergeCell ref="E207:F207"/>
    <mergeCell ref="E193:F193"/>
    <mergeCell ref="E194:F194"/>
    <mergeCell ref="E195:F195"/>
    <mergeCell ref="E196:F196"/>
    <mergeCell ref="I217:I238"/>
    <mergeCell ref="E252:F252"/>
    <mergeCell ref="I241:I252"/>
    <mergeCell ref="E158:F158"/>
    <mergeCell ref="C159:H159"/>
    <mergeCell ref="I159:I173"/>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B177:H177"/>
    <mergeCell ref="E188:F188"/>
    <mergeCell ref="I176:I214"/>
    <mergeCell ref="B185:H185"/>
    <mergeCell ref="E21:F21"/>
    <mergeCell ref="E71:F71"/>
    <mergeCell ref="C72:H72"/>
    <mergeCell ref="C217:H217"/>
    <mergeCell ref="E218:F218"/>
    <mergeCell ref="E219:F219"/>
    <mergeCell ref="E220:F220"/>
    <mergeCell ref="E221:F221"/>
    <mergeCell ref="E78:F78"/>
    <mergeCell ref="E79:F79"/>
    <mergeCell ref="E80:F80"/>
    <mergeCell ref="E118:F118"/>
    <mergeCell ref="E81:F81"/>
    <mergeCell ref="E73:F73"/>
    <mergeCell ref="E74:F74"/>
    <mergeCell ref="E75:F75"/>
    <mergeCell ref="C55:H55"/>
    <mergeCell ref="E56:F56"/>
    <mergeCell ref="E54:F54"/>
    <mergeCell ref="E48:F48"/>
    <mergeCell ref="E43:F43"/>
    <mergeCell ref="E45:F45"/>
    <mergeCell ref="E141:F141"/>
    <mergeCell ref="E124:F124"/>
    <mergeCell ref="I342:I355"/>
    <mergeCell ref="E25:F25"/>
    <mergeCell ref="E9:F9"/>
    <mergeCell ref="E15:F15"/>
    <mergeCell ref="E16:F16"/>
    <mergeCell ref="E17:F17"/>
    <mergeCell ref="C38:H38"/>
    <mergeCell ref="E39:F39"/>
    <mergeCell ref="E40:F40"/>
    <mergeCell ref="E41:F41"/>
    <mergeCell ref="E42:F42"/>
    <mergeCell ref="E33:F33"/>
    <mergeCell ref="E36:F36"/>
    <mergeCell ref="E37:F37"/>
    <mergeCell ref="C35:H35"/>
    <mergeCell ref="C29:H29"/>
    <mergeCell ref="C24:H24"/>
    <mergeCell ref="C19:H19"/>
    <mergeCell ref="E26:F26"/>
    <mergeCell ref="I295:I305"/>
    <mergeCell ref="I308:I319"/>
    <mergeCell ref="I322:I339"/>
    <mergeCell ref="I255:I273"/>
    <mergeCell ref="I276:I292"/>
    <mergeCell ref="B2:H2"/>
    <mergeCell ref="B83:H83"/>
    <mergeCell ref="E3:F3"/>
    <mergeCell ref="E5:F5"/>
    <mergeCell ref="E6:F6"/>
    <mergeCell ref="E7:F7"/>
    <mergeCell ref="C4:H4"/>
    <mergeCell ref="C8:H8"/>
    <mergeCell ref="E30:F30"/>
    <mergeCell ref="E31:F31"/>
    <mergeCell ref="E32:F32"/>
    <mergeCell ref="E18:F18"/>
    <mergeCell ref="E28:F28"/>
    <mergeCell ref="E34:F34"/>
    <mergeCell ref="E20:F20"/>
    <mergeCell ref="B44:H44"/>
    <mergeCell ref="E49:F49"/>
    <mergeCell ref="E23:F23"/>
    <mergeCell ref="E67:F67"/>
    <mergeCell ref="E68:F68"/>
    <mergeCell ref="C69:H69"/>
    <mergeCell ref="E70:F70"/>
    <mergeCell ref="C77:H77"/>
    <mergeCell ref="E46:F46"/>
    <mergeCell ref="E10:F10"/>
    <mergeCell ref="E290:F290"/>
    <mergeCell ref="E291:F291"/>
    <mergeCell ref="E222:F222"/>
    <mergeCell ref="E223:F223"/>
    <mergeCell ref="E224:F224"/>
    <mergeCell ref="E225:F225"/>
    <mergeCell ref="E226:F226"/>
    <mergeCell ref="E227:F227"/>
    <mergeCell ref="E228:F228"/>
    <mergeCell ref="E229:F229"/>
    <mergeCell ref="E230:F230"/>
    <mergeCell ref="E283:F283"/>
    <mergeCell ref="E244:F244"/>
    <mergeCell ref="E250:F250"/>
    <mergeCell ref="E251:F251"/>
    <mergeCell ref="E256:F256"/>
    <mergeCell ref="E257:F257"/>
    <mergeCell ref="E258:F258"/>
    <mergeCell ref="E259:F259"/>
    <mergeCell ref="E260:F260"/>
    <mergeCell ref="E286:F286"/>
    <mergeCell ref="E287:F287"/>
    <mergeCell ref="E288:F288"/>
    <mergeCell ref="E289:F289"/>
    <mergeCell ref="E103:F103"/>
    <mergeCell ref="E104:F104"/>
    <mergeCell ref="E126:F126"/>
    <mergeCell ref="E127:F127"/>
    <mergeCell ref="E129:F129"/>
    <mergeCell ref="E130:F130"/>
    <mergeCell ref="E131:F131"/>
    <mergeCell ref="E133:F133"/>
    <mergeCell ref="B155:H155"/>
    <mergeCell ref="E233:F233"/>
    <mergeCell ref="E234:F234"/>
    <mergeCell ref="E235:F235"/>
    <mergeCell ref="E236:F236"/>
    <mergeCell ref="E237:F237"/>
    <mergeCell ref="E142:F142"/>
    <mergeCell ref="E143:F143"/>
    <mergeCell ref="E144:F144"/>
    <mergeCell ref="E231:F231"/>
    <mergeCell ref="E211:F211"/>
    <mergeCell ref="E212:F212"/>
    <mergeCell ref="E232:F232"/>
    <mergeCell ref="B128:H128"/>
    <mergeCell ref="E285:F285"/>
    <mergeCell ref="E175:F175"/>
    <mergeCell ref="C176:H176"/>
    <mergeCell ref="E178:F178"/>
    <mergeCell ref="E120:F120"/>
    <mergeCell ref="E121:F121"/>
    <mergeCell ref="E122:F122"/>
    <mergeCell ref="E123:F123"/>
    <mergeCell ref="E238:F238"/>
    <mergeCell ref="E145:F145"/>
    <mergeCell ref="E146:F146"/>
    <mergeCell ref="E147:F147"/>
    <mergeCell ref="E148:F148"/>
    <mergeCell ref="E149:F149"/>
    <mergeCell ref="E150:F150"/>
    <mergeCell ref="E201:F201"/>
    <mergeCell ref="E216:F216"/>
    <mergeCell ref="E213:F213"/>
    <mergeCell ref="E214:F214"/>
    <mergeCell ref="E189:F189"/>
    <mergeCell ref="E190:F190"/>
    <mergeCell ref="E191:F191"/>
    <mergeCell ref="E192:F192"/>
    <mergeCell ref="E202:F202"/>
    <mergeCell ref="E203:F203"/>
    <mergeCell ref="E95:F95"/>
    <mergeCell ref="E96:F96"/>
    <mergeCell ref="E97:F97"/>
    <mergeCell ref="E98:F98"/>
    <mergeCell ref="C85:H85"/>
    <mergeCell ref="E90:F90"/>
    <mergeCell ref="C101:H101"/>
    <mergeCell ref="E100:F100"/>
    <mergeCell ref="B102:H102"/>
    <mergeCell ref="E91:F91"/>
    <mergeCell ref="E245:F245"/>
    <mergeCell ref="E246:F246"/>
    <mergeCell ref="E247:F247"/>
    <mergeCell ref="E248:F248"/>
    <mergeCell ref="E249:F249"/>
    <mergeCell ref="E240:F240"/>
    <mergeCell ref="C241:H241"/>
    <mergeCell ref="E280:F280"/>
    <mergeCell ref="E281:F281"/>
    <mergeCell ref="E279:F279"/>
    <mergeCell ref="E243:F243"/>
    <mergeCell ref="E277:F277"/>
    <mergeCell ref="E278:F278"/>
    <mergeCell ref="E261:F261"/>
    <mergeCell ref="E273:F273"/>
    <mergeCell ref="E242:F242"/>
    <mergeCell ref="E282:F282"/>
    <mergeCell ref="E284:F284"/>
    <mergeCell ref="C255:H255"/>
    <mergeCell ref="E275:F275"/>
    <mergeCell ref="C276:H276"/>
    <mergeCell ref="E254:F254"/>
    <mergeCell ref="E262:F262"/>
    <mergeCell ref="E263:F263"/>
    <mergeCell ref="E264:F264"/>
    <mergeCell ref="E265:F265"/>
    <mergeCell ref="E266:F266"/>
    <mergeCell ref="E267:F267"/>
    <mergeCell ref="E268:F268"/>
    <mergeCell ref="E269:F269"/>
    <mergeCell ref="E270:F270"/>
    <mergeCell ref="E271:F271"/>
    <mergeCell ref="E272:F272"/>
    <mergeCell ref="E292:F292"/>
    <mergeCell ref="E296:F296"/>
    <mergeCell ref="E297:F297"/>
    <mergeCell ref="E294:F294"/>
    <mergeCell ref="C295:H295"/>
    <mergeCell ref="E298:F298"/>
    <mergeCell ref="E299:F299"/>
    <mergeCell ref="E300:F300"/>
    <mergeCell ref="E301:F301"/>
    <mergeCell ref="E302:F302"/>
    <mergeCell ref="E303:F303"/>
    <mergeCell ref="E304:F304"/>
    <mergeCell ref="E305:F305"/>
    <mergeCell ref="E309:F309"/>
    <mergeCell ref="E307:F307"/>
    <mergeCell ref="C308:H308"/>
    <mergeCell ref="E310:F310"/>
    <mergeCell ref="E311:F311"/>
    <mergeCell ref="C322:H322"/>
    <mergeCell ref="E329:F329"/>
    <mergeCell ref="E330:F330"/>
    <mergeCell ref="E331:F331"/>
    <mergeCell ref="E332:F332"/>
    <mergeCell ref="E312:F312"/>
    <mergeCell ref="E313:F313"/>
    <mergeCell ref="E314:F314"/>
    <mergeCell ref="E315:F315"/>
    <mergeCell ref="E316:F316"/>
    <mergeCell ref="E317:F317"/>
    <mergeCell ref="E319:F319"/>
    <mergeCell ref="E323:F323"/>
    <mergeCell ref="E324:F324"/>
    <mergeCell ref="E321:F321"/>
    <mergeCell ref="E337:F337"/>
    <mergeCell ref="E350:F350"/>
    <mergeCell ref="E351:F351"/>
    <mergeCell ref="E352:F352"/>
    <mergeCell ref="E353:F353"/>
    <mergeCell ref="E325:F325"/>
    <mergeCell ref="E326:F326"/>
    <mergeCell ref="E327:F327"/>
    <mergeCell ref="E328:F328"/>
    <mergeCell ref="E22:F22"/>
    <mergeCell ref="E107:F107"/>
    <mergeCell ref="E132:F132"/>
    <mergeCell ref="E11:F11"/>
    <mergeCell ref="E12:F12"/>
    <mergeCell ref="E13:F13"/>
    <mergeCell ref="E14:F14"/>
    <mergeCell ref="E354:F354"/>
    <mergeCell ref="E355:F355"/>
    <mergeCell ref="E338:F338"/>
    <mergeCell ref="E339:F339"/>
    <mergeCell ref="E343:F343"/>
    <mergeCell ref="E344:F344"/>
    <mergeCell ref="E345:F345"/>
    <mergeCell ref="E346:F346"/>
    <mergeCell ref="E347:F347"/>
    <mergeCell ref="E348:F348"/>
    <mergeCell ref="E349:F349"/>
    <mergeCell ref="E341:F341"/>
    <mergeCell ref="C342:H342"/>
    <mergeCell ref="E333:F333"/>
    <mergeCell ref="E334:F334"/>
    <mergeCell ref="E335:F335"/>
    <mergeCell ref="E336:F336"/>
  </mergeCells>
  <phoneticPr fontId="19" type="noConversion"/>
  <conditionalFormatting sqref="E84:G84 C85:H85">
    <cfRule type="expression" dxfId="10" priority="7">
      <formula>$I$85="Applicable"</formula>
    </cfRule>
  </conditionalFormatting>
  <conditionalFormatting sqref="E100:G100 C101:H101">
    <cfRule type="expression" dxfId="9" priority="6">
      <formula>$I$101="Applicable"</formula>
    </cfRule>
  </conditionalFormatting>
  <conditionalFormatting sqref="I3">
    <cfRule type="containsText" dxfId="8" priority="2" operator="containsText" text="Applicable">
      <formula>NOT(ISERROR(SEARCH("Applicable",I3)))</formula>
    </cfRule>
  </conditionalFormatting>
  <conditionalFormatting sqref="I85 I101 I157 I215 I217 I239 I241 I253 I274 I295:I305 I308:I320 I322:I340 I342:I355">
    <cfRule type="containsText" dxfId="7" priority="10" operator="containsText" text="Applicable">
      <formula>NOT(ISERROR(SEARCH("Applicable",I85)))</formula>
    </cfRule>
  </conditionalFormatting>
  <conditionalFormatting sqref="I159">
    <cfRule type="containsText" dxfId="6" priority="1" operator="containsText" text="Applicable">
      <formula>NOT(ISERROR(SEARCH("Applicable",I159)))</formula>
    </cfRule>
  </conditionalFormatting>
  <conditionalFormatting sqref="I176">
    <cfRule type="containsText" dxfId="5" priority="5" operator="containsText" text="Applicable">
      <formula>NOT(ISERROR(SEARCH("Applicable",I176)))</formula>
    </cfRule>
  </conditionalFormatting>
  <conditionalFormatting sqref="I255">
    <cfRule type="containsText" dxfId="4" priority="4" operator="containsText" text="Applicable">
      <formula>NOT(ISERROR(SEARCH("Applicable",I255)))</formula>
    </cfRule>
  </conditionalFormatting>
  <conditionalFormatting sqref="I276">
    <cfRule type="containsText" dxfId="3" priority="3" operator="containsText" text="Applicable">
      <formula>NOT(ISERROR(SEARCH("Applicable",I276)))</formula>
    </cfRule>
  </conditionalFormatting>
  <pageMargins left="0.7" right="0.7" top="0.75" bottom="0.75" header="0.3" footer="0.3"/>
  <pageSetup paperSize="9" scale="38" fitToHeight="0" orientation="landscape"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BF81-2E45-4A42-BB71-9B56D28F3E03}">
  <sheetPr>
    <pageSetUpPr fitToPage="1"/>
  </sheetPr>
  <dimension ref="A1:XFC98"/>
  <sheetViews>
    <sheetView topLeftCell="A20" zoomScale="130" zoomScaleNormal="130" workbookViewId="0">
      <selection activeCell="D4" sqref="D4"/>
    </sheetView>
  </sheetViews>
  <sheetFormatPr baseColWidth="10" defaultColWidth="0" defaultRowHeight="14.5" zeroHeight="1"/>
  <cols>
    <col min="1" max="1" width="10.54296875" customWidth="1"/>
    <col min="2" max="2" width="22.453125" customWidth="1"/>
    <col min="3" max="3" width="22.54296875" bestFit="1" customWidth="1"/>
    <col min="4" max="4" width="64.54296875" customWidth="1"/>
    <col min="5" max="5" width="30.453125" style="190" customWidth="1"/>
    <col min="6" max="6" width="57.453125" customWidth="1"/>
    <col min="7" max="7" width="29.453125" customWidth="1"/>
    <col min="8" max="8" width="33.453125" style="190" bestFit="1" customWidth="1"/>
    <col min="9" max="9" width="22.453125" customWidth="1"/>
    <col min="10" max="10" width="57.453125" customWidth="1"/>
    <col min="11" max="11" width="10.453125" customWidth="1"/>
    <col min="12" max="16" width="0" hidden="1" customWidth="1"/>
    <col min="17" max="16382" width="10.54296875" hidden="1"/>
    <col min="16383" max="16383" width="20.453125" hidden="1" customWidth="1"/>
    <col min="16384" max="16384" width="3.453125" hidden="1" customWidth="1"/>
  </cols>
  <sheetData>
    <row r="1" spans="1:19" s="192" customFormat="1" ht="27" customHeight="1">
      <c r="A1" s="51"/>
      <c r="B1" s="428" t="s">
        <v>1318</v>
      </c>
      <c r="C1" s="428"/>
      <c r="D1" s="428"/>
      <c r="E1" s="428"/>
      <c r="F1" s="428"/>
      <c r="G1" s="428"/>
      <c r="H1" s="428"/>
      <c r="I1" s="428"/>
      <c r="J1" s="428"/>
      <c r="K1" s="428"/>
      <c r="L1" s="428"/>
      <c r="M1" s="428"/>
      <c r="N1" s="193"/>
      <c r="O1" s="193"/>
      <c r="P1" s="193"/>
      <c r="Q1" s="193"/>
      <c r="R1" s="193"/>
      <c r="S1" s="193"/>
    </row>
    <row r="2" spans="1:19" s="194" customFormat="1" ht="19.5" customHeight="1" thickBot="1">
      <c r="A2" s="1"/>
      <c r="B2" s="211"/>
      <c r="C2" s="212"/>
      <c r="D2" s="212"/>
      <c r="E2" s="212"/>
      <c r="F2" s="212"/>
      <c r="G2" s="212"/>
      <c r="H2" s="489" t="s">
        <v>1319</v>
      </c>
      <c r="I2" s="489"/>
      <c r="J2" s="212"/>
      <c r="K2" s="213"/>
      <c r="L2" s="213"/>
      <c r="M2" s="212"/>
      <c r="N2" s="196"/>
      <c r="O2" s="195"/>
      <c r="P2" s="197"/>
      <c r="Q2" s="197"/>
      <c r="R2" s="197"/>
    </row>
    <row r="3" spans="1:19" s="198" customFormat="1" ht="102" customHeight="1">
      <c r="A3" s="141"/>
      <c r="B3" s="214" t="s">
        <v>1320</v>
      </c>
      <c r="C3" s="214" t="s">
        <v>1321</v>
      </c>
      <c r="D3" s="215" t="s">
        <v>1322</v>
      </c>
      <c r="E3" s="216" t="s">
        <v>1323</v>
      </c>
      <c r="F3" s="217" t="s">
        <v>1324</v>
      </c>
      <c r="G3" s="218" t="s">
        <v>1325</v>
      </c>
      <c r="H3" s="219" t="s">
        <v>1326</v>
      </c>
      <c r="I3" s="219" t="s">
        <v>1325</v>
      </c>
      <c r="J3" s="220" t="s">
        <v>1327</v>
      </c>
      <c r="K3" s="221" t="s">
        <v>1328</v>
      </c>
      <c r="L3" s="221" t="s">
        <v>1329</v>
      </c>
      <c r="M3" s="221" t="s">
        <v>1330</v>
      </c>
      <c r="N3" s="199" t="s">
        <v>128</v>
      </c>
    </row>
    <row r="4" spans="1:19" s="194" customFormat="1" ht="163.4" customHeight="1">
      <c r="A4" s="490" t="s">
        <v>1331</v>
      </c>
      <c r="B4" s="222" t="s">
        <v>1332</v>
      </c>
      <c r="C4" s="223" t="s">
        <v>1333</v>
      </c>
      <c r="D4" s="224" t="s">
        <v>1334</v>
      </c>
      <c r="E4" s="225" t="s">
        <v>1335</v>
      </c>
      <c r="F4" s="223" t="s">
        <v>1336</v>
      </c>
      <c r="G4" s="226">
        <v>4</v>
      </c>
      <c r="H4" s="223"/>
      <c r="I4" s="226"/>
      <c r="J4" s="226">
        <v>3</v>
      </c>
      <c r="K4" s="226">
        <f>MAX(G4,I4)*J4</f>
        <v>12</v>
      </c>
      <c r="L4" s="226" t="str">
        <f>IF(K4&lt;4,"LOW",IF(K4&gt;9,"HIGH","MEDIUM"))</f>
        <v>HIGH</v>
      </c>
      <c r="M4" s="223"/>
      <c r="N4" s="200"/>
    </row>
    <row r="5" spans="1:19" s="194" customFormat="1" ht="129" customHeight="1">
      <c r="A5" s="490"/>
      <c r="B5" s="222" t="s">
        <v>1337</v>
      </c>
      <c r="C5" s="223" t="s">
        <v>1338</v>
      </c>
      <c r="D5" s="224" t="s">
        <v>1334</v>
      </c>
      <c r="E5" s="225" t="s">
        <v>1335</v>
      </c>
      <c r="F5" s="223" t="s">
        <v>1339</v>
      </c>
      <c r="G5" s="226">
        <v>4</v>
      </c>
      <c r="H5" s="223"/>
      <c r="I5" s="226"/>
      <c r="J5" s="226">
        <v>4</v>
      </c>
      <c r="K5" s="226">
        <f>MAX(G5,I5)*J5</f>
        <v>16</v>
      </c>
      <c r="L5" s="226" t="str">
        <f>IF(K5&lt;4,"LOW",IF(K5&gt;9,"HIGH","MEDIUM"))</f>
        <v>HIGH</v>
      </c>
      <c r="M5" s="223"/>
      <c r="N5" s="200"/>
    </row>
    <row r="6" spans="1:19" s="194" customFormat="1" ht="128.15" customHeight="1">
      <c r="A6" s="490"/>
      <c r="B6" s="222" t="s">
        <v>1340</v>
      </c>
      <c r="C6" s="223" t="s">
        <v>1341</v>
      </c>
      <c r="D6" s="224" t="s">
        <v>1342</v>
      </c>
      <c r="E6" s="225" t="s">
        <v>1343</v>
      </c>
      <c r="F6" s="223" t="s">
        <v>1344</v>
      </c>
      <c r="G6" s="226">
        <v>4</v>
      </c>
      <c r="H6" s="223"/>
      <c r="I6" s="226"/>
      <c r="J6" s="226">
        <v>3</v>
      </c>
      <c r="K6" s="226">
        <f>MAX(G6,I6)*J6</f>
        <v>12</v>
      </c>
      <c r="L6" s="226" t="str">
        <f t="shared" ref="L6:L10" si="0">IF(K6&lt;4,"LOW",IF(K6&gt;9,"HIGH","MEDIUM"))</f>
        <v>HIGH</v>
      </c>
      <c r="M6" s="223"/>
      <c r="N6" s="200"/>
    </row>
    <row r="7" spans="1:19" s="194" customFormat="1" ht="161.9" customHeight="1">
      <c r="A7" s="490"/>
      <c r="B7" s="222" t="s">
        <v>1345</v>
      </c>
      <c r="C7" s="227" t="s">
        <v>1346</v>
      </c>
      <c r="D7" s="224" t="s">
        <v>1347</v>
      </c>
      <c r="E7" s="225" t="s">
        <v>1343</v>
      </c>
      <c r="F7" s="224" t="s">
        <v>1348</v>
      </c>
      <c r="G7" s="226">
        <v>3</v>
      </c>
      <c r="H7" s="223"/>
      <c r="I7" s="226"/>
      <c r="J7" s="226">
        <v>2</v>
      </c>
      <c r="K7" s="226">
        <f>MAX(G7,I7)*J7</f>
        <v>6</v>
      </c>
      <c r="L7" s="226" t="str">
        <f t="shared" si="0"/>
        <v>MEDIUM</v>
      </c>
      <c r="M7" s="223"/>
      <c r="N7" s="200"/>
    </row>
    <row r="8" spans="1:19" s="194" customFormat="1" ht="291" customHeight="1">
      <c r="A8" s="490"/>
      <c r="B8" s="222" t="s">
        <v>1349</v>
      </c>
      <c r="C8" s="223" t="s">
        <v>1350</v>
      </c>
      <c r="D8" s="224" t="s">
        <v>1351</v>
      </c>
      <c r="E8" s="225" t="s">
        <v>1343</v>
      </c>
      <c r="F8" s="223" t="s">
        <v>1352</v>
      </c>
      <c r="G8" s="226">
        <v>3</v>
      </c>
      <c r="H8" s="223"/>
      <c r="I8" s="226"/>
      <c r="J8" s="226">
        <v>3</v>
      </c>
      <c r="K8" s="226">
        <f>MAX(G8,I8)*J8</f>
        <v>9</v>
      </c>
      <c r="L8" s="226" t="str">
        <f t="shared" si="0"/>
        <v>MEDIUM</v>
      </c>
      <c r="M8" s="223"/>
      <c r="N8" s="200"/>
    </row>
    <row r="9" spans="1:19" s="194" customFormat="1" ht="152.15" customHeight="1">
      <c r="A9" s="490"/>
      <c r="B9" s="222" t="s">
        <v>1353</v>
      </c>
      <c r="C9" s="223" t="s">
        <v>1354</v>
      </c>
      <c r="D9" s="224" t="s">
        <v>1355</v>
      </c>
      <c r="E9" s="225" t="s">
        <v>1335</v>
      </c>
      <c r="F9" s="223" t="s">
        <v>1356</v>
      </c>
      <c r="G9" s="226">
        <v>4</v>
      </c>
      <c r="H9" s="223"/>
      <c r="I9" s="226"/>
      <c r="J9" s="226">
        <v>1</v>
      </c>
      <c r="K9" s="226">
        <f t="shared" ref="K9:K11" si="1">MAX(G9,I9)*J9</f>
        <v>4</v>
      </c>
      <c r="L9" s="226" t="str">
        <f t="shared" si="0"/>
        <v>MEDIUM</v>
      </c>
      <c r="M9" s="223"/>
      <c r="N9" s="200" t="s">
        <v>1357</v>
      </c>
    </row>
    <row r="10" spans="1:19" s="194" customFormat="1" ht="30" customHeight="1">
      <c r="A10" s="490"/>
      <c r="B10" s="222" t="s">
        <v>1358</v>
      </c>
      <c r="C10" s="223"/>
      <c r="D10" s="224"/>
      <c r="E10" s="225"/>
      <c r="F10" s="224"/>
      <c r="G10" s="226">
        <v>4</v>
      </c>
      <c r="H10" s="223"/>
      <c r="I10" s="226"/>
      <c r="J10" s="226">
        <v>2</v>
      </c>
      <c r="K10" s="226">
        <f t="shared" si="1"/>
        <v>8</v>
      </c>
      <c r="L10" s="226" t="str">
        <f t="shared" si="0"/>
        <v>MEDIUM</v>
      </c>
      <c r="M10" s="223"/>
      <c r="N10" s="200"/>
    </row>
    <row r="11" spans="1:19" s="194" customFormat="1" ht="30" customHeight="1">
      <c r="A11" s="490"/>
      <c r="B11" s="222"/>
      <c r="C11" s="223"/>
      <c r="D11" s="223"/>
      <c r="E11" s="223"/>
      <c r="F11" s="223"/>
      <c r="G11" s="226"/>
      <c r="H11" s="223"/>
      <c r="I11" s="226"/>
      <c r="J11" s="226"/>
      <c r="K11" s="226">
        <f t="shared" si="1"/>
        <v>0</v>
      </c>
      <c r="L11" s="226"/>
      <c r="M11" s="223"/>
      <c r="N11" s="200"/>
    </row>
    <row r="12" spans="1:19" s="194" customFormat="1" ht="8.9" customHeight="1">
      <c r="B12" s="201"/>
      <c r="C12" s="202"/>
      <c r="D12" s="203"/>
      <c r="E12" s="203"/>
      <c r="F12" s="202"/>
      <c r="G12" s="204"/>
      <c r="H12" s="204"/>
      <c r="I12" s="204"/>
      <c r="J12" s="204"/>
      <c r="K12" s="205"/>
      <c r="L12" s="206"/>
      <c r="M12" s="207"/>
      <c r="N12" s="208"/>
    </row>
    <row r="13" spans="1:19" s="209" customFormat="1" ht="27" customHeight="1">
      <c r="B13" s="195"/>
      <c r="C13" s="195"/>
      <c r="D13" s="195"/>
      <c r="E13" s="195"/>
      <c r="F13" s="195"/>
      <c r="G13" s="195"/>
      <c r="H13" s="195"/>
      <c r="I13" s="195"/>
      <c r="J13" s="195"/>
      <c r="K13" s="94"/>
      <c r="L13" s="94"/>
      <c r="M13" s="94"/>
      <c r="N13" s="210"/>
      <c r="O13" s="94"/>
      <c r="P13" s="94"/>
      <c r="Q13" s="94"/>
      <c r="R13" s="94"/>
    </row>
    <row r="14" spans="1:19" ht="38.9" customHeight="1" thickBot="1">
      <c r="A14" s="1"/>
      <c r="B14" s="1"/>
      <c r="C14" s="1"/>
      <c r="D14" s="1"/>
      <c r="E14" s="187"/>
      <c r="F14" s="1"/>
      <c r="G14" s="1"/>
      <c r="H14" s="187"/>
      <c r="I14" s="1"/>
      <c r="J14" s="1"/>
      <c r="K14" s="1"/>
    </row>
    <row r="15" spans="1:19" ht="50.9" customHeight="1" thickTop="1">
      <c r="A15" s="30"/>
      <c r="B15" s="491" t="s">
        <v>1359</v>
      </c>
      <c r="C15" s="492"/>
      <c r="D15" s="492"/>
      <c r="E15" s="492"/>
      <c r="F15" s="492"/>
      <c r="G15" s="492"/>
      <c r="H15" s="492"/>
      <c r="I15" s="492"/>
      <c r="J15" s="493"/>
      <c r="K15" s="1"/>
    </row>
    <row r="16" spans="1:19" ht="29.15" customHeight="1">
      <c r="A16" s="31"/>
      <c r="B16" s="118" t="s">
        <v>1360</v>
      </c>
      <c r="C16" s="119" t="s">
        <v>1361</v>
      </c>
      <c r="D16" s="120" t="s">
        <v>1362</v>
      </c>
      <c r="E16" s="183" t="s">
        <v>1363</v>
      </c>
      <c r="F16" s="181" t="s">
        <v>1364</v>
      </c>
      <c r="G16" s="181" t="s">
        <v>1365</v>
      </c>
      <c r="H16" s="181" t="s">
        <v>1366</v>
      </c>
      <c r="I16" s="181" t="s">
        <v>1367</v>
      </c>
      <c r="J16" s="186" t="s">
        <v>56</v>
      </c>
      <c r="K16" s="1"/>
    </row>
    <row r="17" spans="1:11" ht="63" customHeight="1">
      <c r="A17" s="31"/>
      <c r="B17" s="494" t="s">
        <v>1368</v>
      </c>
      <c r="C17" s="122" t="s">
        <v>1369</v>
      </c>
      <c r="D17" s="121" t="s">
        <v>1370</v>
      </c>
      <c r="E17" s="188" t="s">
        <v>1371</v>
      </c>
      <c r="F17" s="185"/>
      <c r="G17" s="185"/>
      <c r="H17" s="191"/>
      <c r="I17" s="185"/>
      <c r="J17" s="185"/>
      <c r="K17" s="1"/>
    </row>
    <row r="18" spans="1:11" ht="57" customHeight="1">
      <c r="A18" s="31"/>
      <c r="B18" s="495"/>
      <c r="C18" s="122" t="s">
        <v>1372</v>
      </c>
      <c r="D18" s="121" t="s">
        <v>1373</v>
      </c>
      <c r="E18" s="188"/>
      <c r="F18" s="182"/>
      <c r="G18" s="182"/>
      <c r="H18" s="188"/>
      <c r="I18" s="182"/>
      <c r="J18" s="182"/>
      <c r="K18" s="1"/>
    </row>
    <row r="19" spans="1:11" ht="60.75" customHeight="1">
      <c r="A19" s="31"/>
      <c r="B19" s="495"/>
      <c r="C19" s="122" t="s">
        <v>1374</v>
      </c>
      <c r="D19" s="121" t="s">
        <v>1375</v>
      </c>
      <c r="E19" s="188"/>
      <c r="F19" s="182"/>
      <c r="G19" s="182"/>
      <c r="H19" s="188"/>
      <c r="I19" s="182"/>
      <c r="J19" s="182"/>
      <c r="K19" s="1"/>
    </row>
    <row r="20" spans="1:11" ht="52.5" customHeight="1">
      <c r="A20" s="31"/>
      <c r="B20" s="495"/>
      <c r="C20" s="122" t="s">
        <v>1376</v>
      </c>
      <c r="D20" s="121" t="s">
        <v>1377</v>
      </c>
      <c r="E20" s="188"/>
      <c r="F20" s="182"/>
      <c r="G20" s="182"/>
      <c r="H20" s="188"/>
      <c r="I20" s="182"/>
      <c r="J20" s="182"/>
      <c r="K20" s="1"/>
    </row>
    <row r="21" spans="1:11" ht="52.5" customHeight="1">
      <c r="A21" s="31"/>
      <c r="B21" s="495"/>
      <c r="C21" s="122" t="s">
        <v>1378</v>
      </c>
      <c r="D21" s="121" t="s">
        <v>1379</v>
      </c>
      <c r="E21" s="188"/>
      <c r="F21" s="182"/>
      <c r="G21" s="182"/>
      <c r="H21" s="188"/>
      <c r="I21" s="182"/>
      <c r="J21" s="182"/>
      <c r="K21" s="1"/>
    </row>
    <row r="22" spans="1:11" ht="37">
      <c r="A22" s="31"/>
      <c r="B22" s="495"/>
      <c r="C22" s="122" t="s">
        <v>1380</v>
      </c>
      <c r="D22" s="121" t="s">
        <v>1381</v>
      </c>
      <c r="E22" s="188"/>
      <c r="F22" s="182"/>
      <c r="G22" s="182"/>
      <c r="H22" s="188"/>
      <c r="I22" s="182"/>
      <c r="J22" s="182"/>
      <c r="K22" s="1"/>
    </row>
    <row r="23" spans="1:11" ht="54.75" customHeight="1">
      <c r="A23" s="31"/>
      <c r="B23" s="495"/>
      <c r="C23" s="122" t="s">
        <v>1382</v>
      </c>
      <c r="D23" s="121" t="s">
        <v>1383</v>
      </c>
      <c r="E23" s="188"/>
      <c r="F23" s="182"/>
      <c r="G23" s="182"/>
      <c r="H23" s="188"/>
      <c r="I23" s="182"/>
      <c r="J23" s="182"/>
      <c r="K23" s="1"/>
    </row>
    <row r="24" spans="1:11" ht="38.25" customHeight="1">
      <c r="A24" s="31"/>
      <c r="B24" s="496"/>
      <c r="C24" s="122" t="s">
        <v>1384</v>
      </c>
      <c r="D24" s="121" t="s">
        <v>1385</v>
      </c>
      <c r="E24" s="188"/>
      <c r="F24" s="182"/>
      <c r="G24" s="182"/>
      <c r="H24" s="188"/>
      <c r="I24" s="182"/>
      <c r="J24" s="182"/>
      <c r="K24" s="1"/>
    </row>
    <row r="25" spans="1:11" ht="69.75" customHeight="1">
      <c r="A25" s="30"/>
      <c r="B25" s="494" t="s">
        <v>1386</v>
      </c>
      <c r="C25" s="122" t="s">
        <v>1387</v>
      </c>
      <c r="D25" s="121" t="s">
        <v>1388</v>
      </c>
      <c r="E25" s="188"/>
      <c r="F25" s="182"/>
      <c r="G25" s="182"/>
      <c r="H25" s="188"/>
      <c r="I25" s="182"/>
      <c r="J25" s="182"/>
      <c r="K25" s="1"/>
    </row>
    <row r="26" spans="1:11" ht="73.5" customHeight="1">
      <c r="A26" s="30"/>
      <c r="B26" s="496"/>
      <c r="C26" s="122" t="s">
        <v>1389</v>
      </c>
      <c r="D26" s="121" t="s">
        <v>1390</v>
      </c>
      <c r="E26" s="188"/>
      <c r="F26" s="182"/>
      <c r="G26" s="182"/>
      <c r="H26" s="188"/>
      <c r="I26" s="182"/>
      <c r="J26" s="182"/>
      <c r="K26" s="1"/>
    </row>
    <row r="27" spans="1:11" ht="96.75" customHeight="1">
      <c r="A27" s="30"/>
      <c r="B27" s="498" t="s">
        <v>39</v>
      </c>
      <c r="C27" s="122" t="s">
        <v>1391</v>
      </c>
      <c r="D27" s="121" t="s">
        <v>1392</v>
      </c>
      <c r="E27" s="188"/>
      <c r="F27" s="182"/>
      <c r="G27" s="182"/>
      <c r="H27" s="188"/>
      <c r="I27" s="182"/>
      <c r="J27" s="182"/>
      <c r="K27" s="1"/>
    </row>
    <row r="28" spans="1:11" ht="41.25" customHeight="1">
      <c r="A28" s="30"/>
      <c r="B28" s="498"/>
      <c r="C28" s="122" t="s">
        <v>1393</v>
      </c>
      <c r="D28" s="121" t="s">
        <v>1394</v>
      </c>
      <c r="E28" s="188"/>
      <c r="F28" s="182"/>
      <c r="G28" s="182"/>
      <c r="H28" s="188"/>
      <c r="I28" s="182"/>
      <c r="J28" s="182"/>
      <c r="K28" s="1"/>
    </row>
    <row r="29" spans="1:11" ht="43.5" customHeight="1">
      <c r="A29" s="30"/>
      <c r="B29" s="494" t="s">
        <v>1395</v>
      </c>
      <c r="C29" s="122" t="s">
        <v>1396</v>
      </c>
      <c r="D29" s="121" t="s">
        <v>1397</v>
      </c>
      <c r="E29" s="188"/>
      <c r="F29" s="182"/>
      <c r="G29" s="182"/>
      <c r="H29" s="188"/>
      <c r="I29" s="182"/>
      <c r="J29" s="182"/>
      <c r="K29" s="1"/>
    </row>
    <row r="30" spans="1:11" ht="37">
      <c r="A30" s="30"/>
      <c r="B30" s="495"/>
      <c r="C30" s="122" t="s">
        <v>1398</v>
      </c>
      <c r="D30" s="121" t="s">
        <v>1399</v>
      </c>
      <c r="E30" s="188"/>
      <c r="F30" s="182"/>
      <c r="G30" s="182"/>
      <c r="H30" s="188"/>
      <c r="I30" s="182"/>
      <c r="J30" s="182"/>
      <c r="K30" s="1"/>
    </row>
    <row r="31" spans="1:11" ht="34.5" customHeight="1">
      <c r="A31" s="30"/>
      <c r="B31" s="495"/>
      <c r="C31" s="122" t="s">
        <v>1400</v>
      </c>
      <c r="D31" s="121" t="s">
        <v>1401</v>
      </c>
      <c r="E31" s="188"/>
      <c r="F31" s="182"/>
      <c r="G31" s="182"/>
      <c r="H31" s="188"/>
      <c r="I31" s="182"/>
      <c r="J31" s="182"/>
      <c r="K31" s="1"/>
    </row>
    <row r="32" spans="1:11" ht="36" customHeight="1">
      <c r="A32" s="30"/>
      <c r="B32" s="495"/>
      <c r="C32" s="122" t="s">
        <v>1402</v>
      </c>
      <c r="D32" s="121" t="s">
        <v>1403</v>
      </c>
      <c r="E32" s="188"/>
      <c r="F32" s="182"/>
      <c r="G32" s="182"/>
      <c r="H32" s="188"/>
      <c r="I32" s="182"/>
      <c r="J32" s="182"/>
      <c r="K32" s="1"/>
    </row>
    <row r="33" spans="1:11" ht="46.5" customHeight="1">
      <c r="A33" s="30"/>
      <c r="B33" s="495"/>
      <c r="C33" s="122" t="s">
        <v>1404</v>
      </c>
      <c r="D33" s="121" t="s">
        <v>1405</v>
      </c>
      <c r="E33" s="188"/>
      <c r="F33" s="182"/>
      <c r="G33" s="182"/>
      <c r="H33" s="188"/>
      <c r="I33" s="182"/>
      <c r="J33" s="182"/>
      <c r="K33" s="1"/>
    </row>
    <row r="34" spans="1:11" ht="46.5" customHeight="1">
      <c r="A34" s="30"/>
      <c r="B34" s="495"/>
      <c r="C34" s="122" t="s">
        <v>1406</v>
      </c>
      <c r="D34" s="121" t="s">
        <v>1407</v>
      </c>
      <c r="E34" s="188"/>
      <c r="F34" s="182"/>
      <c r="G34" s="182"/>
      <c r="H34" s="188"/>
      <c r="I34" s="182"/>
      <c r="J34" s="182"/>
      <c r="K34" s="1"/>
    </row>
    <row r="35" spans="1:11" ht="37">
      <c r="A35" s="30"/>
      <c r="B35" s="495"/>
      <c r="C35" s="122" t="s">
        <v>1408</v>
      </c>
      <c r="D35" s="121" t="s">
        <v>1409</v>
      </c>
      <c r="E35" s="188"/>
      <c r="F35" s="182"/>
      <c r="G35" s="182"/>
      <c r="H35" s="188"/>
      <c r="I35" s="182"/>
      <c r="J35" s="182"/>
      <c r="K35" s="1"/>
    </row>
    <row r="36" spans="1:11" ht="42" customHeight="1">
      <c r="A36" s="30"/>
      <c r="B36" s="495"/>
      <c r="C36" s="122" t="s">
        <v>1410</v>
      </c>
      <c r="D36" s="121" t="s">
        <v>1411</v>
      </c>
      <c r="E36" s="188"/>
      <c r="F36" s="182"/>
      <c r="G36" s="182"/>
      <c r="H36" s="188"/>
      <c r="I36" s="182"/>
      <c r="J36" s="182"/>
      <c r="K36" s="1"/>
    </row>
    <row r="37" spans="1:11" ht="30.75" customHeight="1">
      <c r="A37" s="30"/>
      <c r="B37" s="495"/>
      <c r="C37" s="122" t="s">
        <v>1412</v>
      </c>
      <c r="D37" s="121" t="s">
        <v>1413</v>
      </c>
      <c r="E37" s="188"/>
      <c r="F37" s="182"/>
      <c r="G37" s="182"/>
      <c r="H37" s="188"/>
      <c r="I37" s="182"/>
      <c r="J37" s="182"/>
      <c r="K37" s="1"/>
    </row>
    <row r="38" spans="1:11" ht="36" customHeight="1">
      <c r="A38" s="30"/>
      <c r="B38" s="495"/>
      <c r="C38" s="122" t="s">
        <v>1414</v>
      </c>
      <c r="D38" s="121" t="s">
        <v>1415</v>
      </c>
      <c r="E38" s="188"/>
      <c r="F38" s="182"/>
      <c r="G38" s="182"/>
      <c r="H38" s="188"/>
      <c r="I38" s="182"/>
      <c r="J38" s="182"/>
      <c r="K38" s="1"/>
    </row>
    <row r="39" spans="1:11" ht="28.5" customHeight="1">
      <c r="A39" s="30"/>
      <c r="B39" s="495"/>
      <c r="C39" s="122" t="s">
        <v>1416</v>
      </c>
      <c r="D39" s="121" t="s">
        <v>814</v>
      </c>
      <c r="E39" s="188"/>
      <c r="F39" s="182"/>
      <c r="G39" s="182"/>
      <c r="H39" s="188"/>
      <c r="I39" s="182"/>
      <c r="J39" s="182"/>
      <c r="K39" s="1"/>
    </row>
    <row r="40" spans="1:11" ht="33" customHeight="1">
      <c r="A40" s="30"/>
      <c r="B40" s="495"/>
      <c r="C40" s="122" t="s">
        <v>1417</v>
      </c>
      <c r="D40" s="121" t="s">
        <v>1418</v>
      </c>
      <c r="E40" s="188"/>
      <c r="F40" s="182"/>
      <c r="G40" s="182"/>
      <c r="H40" s="188"/>
      <c r="I40" s="182"/>
      <c r="J40" s="182"/>
      <c r="K40" s="1"/>
    </row>
    <row r="41" spans="1:11" ht="59.25" customHeight="1">
      <c r="A41" s="30"/>
      <c r="B41" s="496"/>
      <c r="C41" s="122" t="s">
        <v>1419</v>
      </c>
      <c r="D41" s="121" t="s">
        <v>1420</v>
      </c>
      <c r="E41" s="188"/>
      <c r="F41" s="182"/>
      <c r="G41" s="182"/>
      <c r="H41" s="188"/>
      <c r="I41" s="182"/>
      <c r="J41" s="182"/>
      <c r="K41" s="1"/>
    </row>
    <row r="42" spans="1:11" ht="48.75" customHeight="1">
      <c r="A42" s="30"/>
      <c r="B42" s="494" t="s">
        <v>1421</v>
      </c>
      <c r="C42" s="122" t="s">
        <v>1422</v>
      </c>
      <c r="D42" s="121" t="s">
        <v>1423</v>
      </c>
      <c r="E42" s="188"/>
      <c r="F42" s="182"/>
      <c r="G42" s="182"/>
      <c r="H42" s="188"/>
      <c r="I42" s="182"/>
      <c r="J42" s="182"/>
      <c r="K42" s="1"/>
    </row>
    <row r="43" spans="1:11" ht="48" customHeight="1">
      <c r="A43" s="30"/>
      <c r="B43" s="495"/>
      <c r="C43" s="122" t="s">
        <v>1424</v>
      </c>
      <c r="D43" s="121" t="s">
        <v>1425</v>
      </c>
      <c r="E43" s="188"/>
      <c r="F43" s="182"/>
      <c r="G43" s="182"/>
      <c r="H43" s="188"/>
      <c r="I43" s="182"/>
      <c r="J43" s="182"/>
      <c r="K43" s="1"/>
    </row>
    <row r="44" spans="1:11" ht="34.5" customHeight="1">
      <c r="A44" s="30"/>
      <c r="B44" s="495"/>
      <c r="C44" s="122" t="s">
        <v>1426</v>
      </c>
      <c r="D44" s="121" t="s">
        <v>1427</v>
      </c>
      <c r="E44" s="188"/>
      <c r="F44" s="182"/>
      <c r="G44" s="182"/>
      <c r="H44" s="188"/>
      <c r="I44" s="182"/>
      <c r="J44" s="182"/>
      <c r="K44" s="1"/>
    </row>
    <row r="45" spans="1:11" ht="41.25" customHeight="1">
      <c r="A45" s="30"/>
      <c r="B45" s="495"/>
      <c r="C45" s="122" t="s">
        <v>1428</v>
      </c>
      <c r="D45" s="121" t="s">
        <v>1429</v>
      </c>
      <c r="E45" s="188"/>
      <c r="F45" s="182"/>
      <c r="G45" s="182"/>
      <c r="H45" s="188"/>
      <c r="I45" s="182"/>
      <c r="J45" s="182"/>
      <c r="K45" s="1"/>
    </row>
    <row r="46" spans="1:11" ht="51" customHeight="1">
      <c r="A46" s="30"/>
      <c r="B46" s="495"/>
      <c r="C46" s="122" t="s">
        <v>1430</v>
      </c>
      <c r="D46" s="121" t="s">
        <v>1431</v>
      </c>
      <c r="E46" s="188"/>
      <c r="F46" s="182"/>
      <c r="G46" s="182"/>
      <c r="H46" s="188"/>
      <c r="I46" s="182"/>
      <c r="J46" s="182"/>
      <c r="K46" s="1"/>
    </row>
    <row r="47" spans="1:11" ht="43.5" customHeight="1">
      <c r="A47" s="30"/>
      <c r="B47" s="495"/>
      <c r="C47" s="122" t="s">
        <v>1432</v>
      </c>
      <c r="D47" s="121" t="s">
        <v>1433</v>
      </c>
      <c r="E47" s="188"/>
      <c r="F47" s="182"/>
      <c r="G47" s="182"/>
      <c r="H47" s="188"/>
      <c r="I47" s="182"/>
      <c r="J47" s="182"/>
      <c r="K47" s="1"/>
    </row>
    <row r="48" spans="1:11" ht="41.25" customHeight="1">
      <c r="A48" s="30"/>
      <c r="B48" s="495"/>
      <c r="C48" s="122" t="s">
        <v>1434</v>
      </c>
      <c r="D48" s="121" t="s">
        <v>1435</v>
      </c>
      <c r="E48" s="188"/>
      <c r="F48" s="182"/>
      <c r="G48" s="182"/>
      <c r="H48" s="188"/>
      <c r="I48" s="182"/>
      <c r="J48" s="182"/>
      <c r="K48" s="1"/>
    </row>
    <row r="49" spans="1:11" ht="51.75" customHeight="1">
      <c r="A49" s="30"/>
      <c r="B49" s="496"/>
      <c r="C49" s="122" t="s">
        <v>1436</v>
      </c>
      <c r="D49" s="121" t="s">
        <v>1437</v>
      </c>
      <c r="E49" s="188"/>
      <c r="F49" s="182"/>
      <c r="G49" s="182"/>
      <c r="H49" s="188"/>
      <c r="I49" s="182"/>
      <c r="J49" s="182"/>
      <c r="K49" s="1"/>
    </row>
    <row r="50" spans="1:11" ht="51" customHeight="1">
      <c r="A50" s="30"/>
      <c r="B50" s="498" t="s">
        <v>1438</v>
      </c>
      <c r="C50" s="122" t="s">
        <v>1439</v>
      </c>
      <c r="D50" s="121" t="s">
        <v>1440</v>
      </c>
      <c r="E50" s="188"/>
      <c r="F50" s="182"/>
      <c r="G50" s="182"/>
      <c r="H50" s="188"/>
      <c r="I50" s="182"/>
      <c r="J50" s="182"/>
      <c r="K50" s="1"/>
    </row>
    <row r="51" spans="1:11" ht="51.75" customHeight="1">
      <c r="A51" s="30"/>
      <c r="B51" s="498"/>
      <c r="C51" s="122" t="s">
        <v>1441</v>
      </c>
      <c r="D51" s="121" t="s">
        <v>1442</v>
      </c>
      <c r="E51" s="188"/>
      <c r="F51" s="182"/>
      <c r="G51" s="182"/>
      <c r="H51" s="188"/>
      <c r="I51" s="182"/>
      <c r="J51" s="182"/>
      <c r="K51" s="1"/>
    </row>
    <row r="52" spans="1:11" ht="36.75" customHeight="1">
      <c r="A52" s="30"/>
      <c r="B52" s="498"/>
      <c r="C52" s="122" t="s">
        <v>1443</v>
      </c>
      <c r="D52" s="121" t="s">
        <v>1444</v>
      </c>
      <c r="E52" s="188"/>
      <c r="F52" s="182"/>
      <c r="G52" s="182"/>
      <c r="H52" s="188"/>
      <c r="I52" s="182"/>
      <c r="J52" s="182"/>
      <c r="K52" s="1"/>
    </row>
    <row r="53" spans="1:11" ht="36.75" customHeight="1">
      <c r="A53" s="30"/>
      <c r="B53" s="498"/>
      <c r="C53" s="122" t="s">
        <v>1445</v>
      </c>
      <c r="D53" s="121" t="s">
        <v>1446</v>
      </c>
      <c r="E53" s="188"/>
      <c r="F53" s="182"/>
      <c r="G53" s="182"/>
      <c r="H53" s="188"/>
      <c r="I53" s="182"/>
      <c r="J53" s="182"/>
      <c r="K53" s="1"/>
    </row>
    <row r="54" spans="1:11" ht="37">
      <c r="A54" s="30"/>
      <c r="B54" s="498"/>
      <c r="C54" s="122" t="s">
        <v>1447</v>
      </c>
      <c r="D54" s="121" t="s">
        <v>1448</v>
      </c>
      <c r="E54" s="188"/>
      <c r="F54" s="182"/>
      <c r="G54" s="182"/>
      <c r="H54" s="188"/>
      <c r="I54" s="182"/>
      <c r="J54" s="182"/>
      <c r="K54" s="1"/>
    </row>
    <row r="55" spans="1:11" ht="41.25" customHeight="1">
      <c r="A55" s="30"/>
      <c r="B55" s="498" t="s">
        <v>1449</v>
      </c>
      <c r="C55" s="122" t="s">
        <v>1450</v>
      </c>
      <c r="D55" s="121" t="s">
        <v>1451</v>
      </c>
      <c r="E55" s="188"/>
      <c r="F55" s="182"/>
      <c r="G55" s="182"/>
      <c r="H55" s="188"/>
      <c r="I55" s="182"/>
      <c r="J55" s="182"/>
      <c r="K55" s="1"/>
    </row>
    <row r="56" spans="1:11" ht="39" customHeight="1">
      <c r="A56" s="30"/>
      <c r="B56" s="498"/>
      <c r="C56" s="122" t="s">
        <v>1452</v>
      </c>
      <c r="D56" s="121" t="s">
        <v>1453</v>
      </c>
      <c r="E56" s="188"/>
      <c r="F56" s="182"/>
      <c r="G56" s="182"/>
      <c r="H56" s="188"/>
      <c r="I56" s="182"/>
      <c r="J56" s="182"/>
      <c r="K56" s="1"/>
    </row>
    <row r="57" spans="1:11" ht="37">
      <c r="A57" s="30"/>
      <c r="B57" s="498"/>
      <c r="C57" s="122" t="s">
        <v>1454</v>
      </c>
      <c r="D57" s="121" t="s">
        <v>1455</v>
      </c>
      <c r="E57" s="188"/>
      <c r="F57" s="182"/>
      <c r="G57" s="182"/>
      <c r="H57" s="188"/>
      <c r="I57" s="182"/>
      <c r="J57" s="182"/>
      <c r="K57" s="1"/>
    </row>
    <row r="58" spans="1:11" ht="40.5" customHeight="1">
      <c r="A58" s="30"/>
      <c r="B58" s="498"/>
      <c r="C58" s="122" t="s">
        <v>1456</v>
      </c>
      <c r="D58" s="121" t="s">
        <v>1457</v>
      </c>
      <c r="E58" s="188"/>
      <c r="F58" s="182"/>
      <c r="G58" s="182"/>
      <c r="H58" s="188"/>
      <c r="I58" s="182"/>
      <c r="J58" s="182"/>
      <c r="K58" s="1"/>
    </row>
    <row r="59" spans="1:11" ht="37">
      <c r="A59" s="30"/>
      <c r="B59" s="498"/>
      <c r="C59" s="122" t="s">
        <v>1458</v>
      </c>
      <c r="D59" s="121" t="s">
        <v>1459</v>
      </c>
      <c r="E59" s="188"/>
      <c r="F59" s="182"/>
      <c r="G59" s="182"/>
      <c r="H59" s="188"/>
      <c r="I59" s="182"/>
      <c r="J59" s="182"/>
      <c r="K59" s="1"/>
    </row>
    <row r="60" spans="1:11" ht="53.25" customHeight="1">
      <c r="A60" s="30"/>
      <c r="B60" s="498"/>
      <c r="C60" s="122" t="s">
        <v>1460</v>
      </c>
      <c r="D60" s="121" t="s">
        <v>1461</v>
      </c>
      <c r="E60" s="188"/>
      <c r="F60" s="182"/>
      <c r="G60" s="182"/>
      <c r="H60" s="188"/>
      <c r="I60" s="182"/>
      <c r="J60" s="182"/>
      <c r="K60" s="1"/>
    </row>
    <row r="61" spans="1:11" ht="37">
      <c r="A61" s="30"/>
      <c r="B61" s="498"/>
      <c r="C61" s="122" t="s">
        <v>1462</v>
      </c>
      <c r="D61" s="121" t="s">
        <v>1463</v>
      </c>
      <c r="E61" s="188"/>
      <c r="F61" s="182"/>
      <c r="G61" s="182"/>
      <c r="H61" s="188"/>
      <c r="I61" s="182"/>
      <c r="J61" s="182"/>
      <c r="K61" s="1"/>
    </row>
    <row r="62" spans="1:11" ht="39" customHeight="1">
      <c r="A62" s="30"/>
      <c r="B62" s="498"/>
      <c r="C62" s="122" t="s">
        <v>1464</v>
      </c>
      <c r="D62" s="121" t="s">
        <v>1465</v>
      </c>
      <c r="E62" s="188"/>
      <c r="F62" s="182"/>
      <c r="G62" s="182"/>
      <c r="H62" s="188"/>
      <c r="I62" s="182"/>
      <c r="J62" s="182"/>
      <c r="K62" s="1"/>
    </row>
    <row r="63" spans="1:11" ht="43.5" customHeight="1">
      <c r="A63" s="30"/>
      <c r="B63" s="498"/>
      <c r="C63" s="122" t="s">
        <v>1466</v>
      </c>
      <c r="D63" s="121" t="s">
        <v>1467</v>
      </c>
      <c r="E63" s="188"/>
      <c r="F63" s="182"/>
      <c r="G63" s="182"/>
      <c r="H63" s="188"/>
      <c r="I63" s="182"/>
      <c r="J63" s="182"/>
      <c r="K63" s="1"/>
    </row>
    <row r="64" spans="1:11" ht="38.25" customHeight="1">
      <c r="A64" s="30"/>
      <c r="B64" s="498" t="s">
        <v>1468</v>
      </c>
      <c r="C64" s="122" t="s">
        <v>1469</v>
      </c>
      <c r="D64" s="121" t="s">
        <v>1470</v>
      </c>
      <c r="E64" s="188"/>
      <c r="F64" s="182"/>
      <c r="G64" s="182"/>
      <c r="H64" s="188"/>
      <c r="I64" s="182"/>
      <c r="J64" s="182"/>
      <c r="K64" s="1"/>
    </row>
    <row r="65" spans="1:11" ht="42" customHeight="1">
      <c r="A65" s="30"/>
      <c r="B65" s="498"/>
      <c r="C65" s="122" t="s">
        <v>1471</v>
      </c>
      <c r="D65" s="121" t="s">
        <v>1472</v>
      </c>
      <c r="E65" s="188"/>
      <c r="F65" s="182"/>
      <c r="G65" s="182"/>
      <c r="H65" s="188"/>
      <c r="I65" s="182"/>
      <c r="J65" s="182"/>
      <c r="K65" s="1"/>
    </row>
    <row r="66" spans="1:11" ht="30.75" customHeight="1">
      <c r="A66" s="30"/>
      <c r="B66" s="498"/>
      <c r="C66" s="122" t="s">
        <v>1473</v>
      </c>
      <c r="D66" s="121" t="s">
        <v>1474</v>
      </c>
      <c r="E66" s="188"/>
      <c r="F66" s="182"/>
      <c r="G66" s="182"/>
      <c r="H66" s="188"/>
      <c r="I66" s="182"/>
      <c r="J66" s="182"/>
      <c r="K66" s="1"/>
    </row>
    <row r="67" spans="1:11" ht="37">
      <c r="A67" s="30"/>
      <c r="B67" s="498" t="s">
        <v>1475</v>
      </c>
      <c r="C67" s="122" t="s">
        <v>1476</v>
      </c>
      <c r="D67" s="121" t="s">
        <v>1477</v>
      </c>
      <c r="E67" s="188"/>
      <c r="F67" s="182"/>
      <c r="G67" s="182"/>
      <c r="H67" s="188"/>
      <c r="I67" s="182"/>
      <c r="J67" s="182"/>
      <c r="K67" s="1"/>
    </row>
    <row r="68" spans="1:11" ht="34.5" customHeight="1">
      <c r="A68" s="30"/>
      <c r="B68" s="498"/>
      <c r="C68" s="122" t="s">
        <v>1478</v>
      </c>
      <c r="D68" s="121" t="s">
        <v>1479</v>
      </c>
      <c r="E68" s="188"/>
      <c r="F68" s="182"/>
      <c r="G68" s="182"/>
      <c r="H68" s="188"/>
      <c r="I68" s="182"/>
      <c r="J68" s="182"/>
      <c r="K68" s="1"/>
    </row>
    <row r="69" spans="1:11" ht="43.5" customHeight="1">
      <c r="A69" s="30"/>
      <c r="B69" s="498" t="s">
        <v>450</v>
      </c>
      <c r="C69" s="122" t="s">
        <v>1480</v>
      </c>
      <c r="D69" s="121" t="s">
        <v>1481</v>
      </c>
      <c r="E69" s="188"/>
      <c r="F69" s="182"/>
      <c r="G69" s="182"/>
      <c r="H69" s="188"/>
      <c r="I69" s="182"/>
      <c r="J69" s="182"/>
      <c r="K69" s="1"/>
    </row>
    <row r="70" spans="1:11" ht="36" customHeight="1">
      <c r="A70" s="30"/>
      <c r="B70" s="498"/>
      <c r="C70" s="122" t="s">
        <v>1482</v>
      </c>
      <c r="D70" s="121" t="s">
        <v>1483</v>
      </c>
      <c r="E70" s="188"/>
      <c r="F70" s="182"/>
      <c r="G70" s="182"/>
      <c r="H70" s="188"/>
      <c r="I70" s="182"/>
      <c r="J70" s="182"/>
      <c r="K70" s="1"/>
    </row>
    <row r="71" spans="1:11" ht="39" customHeight="1">
      <c r="A71" s="30"/>
      <c r="B71" s="498"/>
      <c r="C71" s="122" t="s">
        <v>1484</v>
      </c>
      <c r="D71" s="121" t="s">
        <v>1485</v>
      </c>
      <c r="E71" s="188"/>
      <c r="F71" s="182"/>
      <c r="G71" s="182"/>
      <c r="H71" s="188"/>
      <c r="I71" s="182"/>
      <c r="J71" s="182"/>
      <c r="K71" s="1"/>
    </row>
    <row r="72" spans="1:11" ht="34.5" customHeight="1">
      <c r="A72" s="30"/>
      <c r="B72" s="498"/>
      <c r="C72" s="122" t="s">
        <v>1486</v>
      </c>
      <c r="D72" s="121" t="s">
        <v>1487</v>
      </c>
      <c r="E72" s="188"/>
      <c r="F72" s="182"/>
      <c r="G72" s="182"/>
      <c r="H72" s="188"/>
      <c r="I72" s="182"/>
      <c r="J72" s="182"/>
      <c r="K72" s="1"/>
    </row>
    <row r="73" spans="1:11" ht="39" customHeight="1">
      <c r="A73" s="30"/>
      <c r="B73" s="494" t="s">
        <v>1488</v>
      </c>
      <c r="C73" s="122" t="s">
        <v>1489</v>
      </c>
      <c r="D73" s="121" t="s">
        <v>1490</v>
      </c>
      <c r="E73" s="188"/>
      <c r="F73" s="182"/>
      <c r="G73" s="182"/>
      <c r="H73" s="188"/>
      <c r="I73" s="182"/>
      <c r="J73" s="182"/>
      <c r="K73" s="1"/>
    </row>
    <row r="74" spans="1:11" ht="40.5" customHeight="1">
      <c r="A74" s="30"/>
      <c r="B74" s="495"/>
      <c r="C74" s="122" t="s">
        <v>1491</v>
      </c>
      <c r="D74" s="121" t="s">
        <v>1492</v>
      </c>
      <c r="E74" s="188"/>
      <c r="F74" s="182"/>
      <c r="G74" s="182"/>
      <c r="H74" s="188"/>
      <c r="I74" s="182"/>
      <c r="J74" s="182"/>
      <c r="K74" s="1"/>
    </row>
    <row r="75" spans="1:11" ht="42" customHeight="1">
      <c r="A75" s="30"/>
      <c r="B75" s="495"/>
      <c r="C75" s="122" t="s">
        <v>1493</v>
      </c>
      <c r="D75" s="121" t="s">
        <v>1494</v>
      </c>
      <c r="E75" s="188"/>
      <c r="F75" s="182"/>
      <c r="G75" s="182"/>
      <c r="H75" s="188"/>
      <c r="I75" s="182"/>
      <c r="J75" s="182"/>
      <c r="K75" s="1"/>
    </row>
    <row r="76" spans="1:11" ht="18.5">
      <c r="A76" s="30"/>
      <c r="B76" s="495"/>
      <c r="C76" s="122" t="s">
        <v>1495</v>
      </c>
      <c r="D76" s="121" t="s">
        <v>1496</v>
      </c>
      <c r="E76" s="188"/>
      <c r="F76" s="182"/>
      <c r="G76" s="182"/>
      <c r="H76" s="188"/>
      <c r="I76" s="182"/>
      <c r="J76" s="182"/>
      <c r="K76" s="1"/>
    </row>
    <row r="77" spans="1:11" ht="36.75" customHeight="1">
      <c r="A77" s="30"/>
      <c r="B77" s="495"/>
      <c r="C77" s="122" t="s">
        <v>1497</v>
      </c>
      <c r="D77" s="121" t="s">
        <v>1498</v>
      </c>
      <c r="E77" s="188"/>
      <c r="F77" s="182"/>
      <c r="G77" s="182"/>
      <c r="H77" s="188"/>
      <c r="I77" s="182"/>
      <c r="J77" s="182"/>
      <c r="K77" s="1"/>
    </row>
    <row r="78" spans="1:11" ht="45.75" customHeight="1">
      <c r="A78" s="30"/>
      <c r="B78" s="495"/>
      <c r="C78" s="122" t="s">
        <v>1499</v>
      </c>
      <c r="D78" s="121" t="s">
        <v>1500</v>
      </c>
      <c r="E78" s="188"/>
      <c r="F78" s="182"/>
      <c r="G78" s="182"/>
      <c r="H78" s="188"/>
      <c r="I78" s="182"/>
      <c r="J78" s="182"/>
      <c r="K78" s="1"/>
    </row>
    <row r="79" spans="1:11" ht="44.25" customHeight="1">
      <c r="A79" s="30"/>
      <c r="B79" s="495"/>
      <c r="C79" s="122" t="s">
        <v>1501</v>
      </c>
      <c r="D79" s="121" t="s">
        <v>1502</v>
      </c>
      <c r="E79" s="188"/>
      <c r="F79" s="182"/>
      <c r="G79" s="182"/>
      <c r="H79" s="188"/>
      <c r="I79" s="182"/>
      <c r="J79" s="182"/>
      <c r="K79" s="1"/>
    </row>
    <row r="80" spans="1:11" ht="43.5" customHeight="1">
      <c r="A80" s="30"/>
      <c r="B80" s="495"/>
      <c r="C80" s="122" t="s">
        <v>1503</v>
      </c>
      <c r="D80" s="121" t="s">
        <v>1504</v>
      </c>
      <c r="E80" s="188"/>
      <c r="F80" s="182"/>
      <c r="G80" s="182"/>
      <c r="H80" s="188"/>
      <c r="I80" s="182"/>
      <c r="J80" s="182"/>
      <c r="K80" s="1"/>
    </row>
    <row r="81" spans="1:11" ht="39" customHeight="1">
      <c r="A81" s="30"/>
      <c r="B81" s="495"/>
      <c r="C81" s="122" t="s">
        <v>1503</v>
      </c>
      <c r="D81" s="121" t="s">
        <v>1505</v>
      </c>
      <c r="E81" s="188"/>
      <c r="F81" s="182"/>
      <c r="G81" s="182"/>
      <c r="H81" s="188"/>
      <c r="I81" s="182"/>
      <c r="J81" s="182"/>
      <c r="K81" s="1"/>
    </row>
    <row r="82" spans="1:11" ht="43.5" customHeight="1">
      <c r="A82" s="30"/>
      <c r="B82" s="495"/>
      <c r="C82" s="122" t="s">
        <v>1506</v>
      </c>
      <c r="D82" s="121" t="s">
        <v>1507</v>
      </c>
      <c r="E82" s="188"/>
      <c r="F82" s="182"/>
      <c r="G82" s="182"/>
      <c r="H82" s="188"/>
      <c r="I82" s="182"/>
      <c r="J82" s="182"/>
      <c r="K82" s="1"/>
    </row>
    <row r="83" spans="1:11" ht="51.75" customHeight="1">
      <c r="A83" s="30"/>
      <c r="B83" s="495"/>
      <c r="C83" s="122" t="s">
        <v>1508</v>
      </c>
      <c r="D83" s="121" t="s">
        <v>1509</v>
      </c>
      <c r="E83" s="188"/>
      <c r="F83" s="182"/>
      <c r="G83" s="182"/>
      <c r="H83" s="188"/>
      <c r="I83" s="182"/>
      <c r="J83" s="182"/>
      <c r="K83" s="1"/>
    </row>
    <row r="84" spans="1:11" ht="41.25" customHeight="1">
      <c r="A84" s="30"/>
      <c r="B84" s="495"/>
      <c r="C84" s="122" t="s">
        <v>1510</v>
      </c>
      <c r="D84" s="121" t="s">
        <v>1511</v>
      </c>
      <c r="E84" s="188"/>
      <c r="F84" s="182"/>
      <c r="G84" s="182"/>
      <c r="H84" s="188"/>
      <c r="I84" s="182"/>
      <c r="J84" s="182"/>
      <c r="K84" s="1"/>
    </row>
    <row r="85" spans="1:11" ht="49.5" customHeight="1">
      <c r="A85" s="30"/>
      <c r="B85" s="495"/>
      <c r="C85" s="122" t="s">
        <v>1512</v>
      </c>
      <c r="D85" s="121" t="s">
        <v>1513</v>
      </c>
      <c r="E85" s="188"/>
      <c r="F85" s="182"/>
      <c r="G85" s="182"/>
      <c r="H85" s="188"/>
      <c r="I85" s="182"/>
      <c r="J85" s="182"/>
      <c r="K85" s="1"/>
    </row>
    <row r="86" spans="1:11" ht="41.25" customHeight="1">
      <c r="A86" s="30"/>
      <c r="B86" s="495"/>
      <c r="C86" s="122" t="s">
        <v>1514</v>
      </c>
      <c r="D86" s="121" t="s">
        <v>1515</v>
      </c>
      <c r="E86" s="188"/>
      <c r="F86" s="182"/>
      <c r="G86" s="182"/>
      <c r="H86" s="188"/>
      <c r="I86" s="182"/>
      <c r="J86" s="182"/>
      <c r="K86" s="1"/>
    </row>
    <row r="87" spans="1:11" ht="52.5" customHeight="1">
      <c r="A87" s="30"/>
      <c r="B87" s="496"/>
      <c r="C87" s="122" t="s">
        <v>1516</v>
      </c>
      <c r="D87" s="121" t="s">
        <v>1517</v>
      </c>
      <c r="E87" s="188"/>
      <c r="F87" s="182"/>
      <c r="G87" s="182"/>
      <c r="H87" s="188"/>
      <c r="I87" s="182"/>
      <c r="J87" s="182"/>
      <c r="K87" s="1"/>
    </row>
    <row r="88" spans="1:11" ht="34.5" customHeight="1">
      <c r="A88" s="30"/>
      <c r="B88" s="497" t="s">
        <v>1518</v>
      </c>
      <c r="C88" s="122" t="s">
        <v>1519</v>
      </c>
      <c r="D88" s="121" t="s">
        <v>1520</v>
      </c>
      <c r="E88" s="188"/>
      <c r="F88" s="182"/>
      <c r="G88" s="182"/>
      <c r="H88" s="188"/>
      <c r="I88" s="182"/>
      <c r="J88" s="182"/>
      <c r="K88" s="1"/>
    </row>
    <row r="89" spans="1:11" ht="31.5" customHeight="1">
      <c r="A89" s="30"/>
      <c r="B89" s="497"/>
      <c r="C89" s="122" t="s">
        <v>1521</v>
      </c>
      <c r="D89" s="121" t="s">
        <v>1522</v>
      </c>
      <c r="E89" s="188"/>
      <c r="F89" s="182"/>
      <c r="G89" s="182"/>
      <c r="H89" s="188"/>
      <c r="I89" s="182"/>
      <c r="J89" s="182"/>
      <c r="K89" s="1"/>
    </row>
    <row r="90" spans="1:11" ht="43.5" customHeight="1">
      <c r="A90" s="30"/>
      <c r="B90" s="497"/>
      <c r="C90" s="122" t="s">
        <v>1523</v>
      </c>
      <c r="D90" s="121" t="s">
        <v>1524</v>
      </c>
      <c r="E90" s="188"/>
      <c r="F90" s="182"/>
      <c r="G90" s="182"/>
      <c r="H90" s="188"/>
      <c r="I90" s="182"/>
      <c r="J90" s="182"/>
      <c r="K90" s="1"/>
    </row>
    <row r="91" spans="1:11" ht="42" customHeight="1">
      <c r="A91" s="30"/>
      <c r="B91" s="497"/>
      <c r="C91" s="122" t="s">
        <v>1525</v>
      </c>
      <c r="D91" s="121" t="s">
        <v>1526</v>
      </c>
      <c r="E91" s="188"/>
      <c r="F91" s="182"/>
      <c r="G91" s="182"/>
      <c r="H91" s="188"/>
      <c r="I91" s="182"/>
      <c r="J91" s="182"/>
      <c r="K91" s="1"/>
    </row>
    <row r="92" spans="1:11" ht="37">
      <c r="A92" s="30"/>
      <c r="B92" s="497"/>
      <c r="C92" s="122" t="s">
        <v>1527</v>
      </c>
      <c r="D92" s="121" t="s">
        <v>1528</v>
      </c>
      <c r="E92" s="188"/>
      <c r="F92" s="182"/>
      <c r="G92" s="182"/>
      <c r="H92" s="188"/>
      <c r="I92" s="182"/>
      <c r="J92" s="182"/>
      <c r="K92" s="1"/>
    </row>
    <row r="93" spans="1:11" ht="33.75" customHeight="1">
      <c r="A93" s="30"/>
      <c r="B93" s="497"/>
      <c r="C93" s="122" t="s">
        <v>1529</v>
      </c>
      <c r="D93" s="121" t="s">
        <v>1530</v>
      </c>
      <c r="E93" s="188"/>
      <c r="F93" s="182"/>
      <c r="G93" s="182"/>
      <c r="H93" s="188"/>
      <c r="I93" s="182"/>
      <c r="J93" s="182"/>
      <c r="K93" s="1"/>
    </row>
    <row r="94" spans="1:11" ht="33.75" customHeight="1">
      <c r="A94" s="30"/>
      <c r="B94" s="497"/>
      <c r="C94" s="122" t="s">
        <v>1531</v>
      </c>
      <c r="D94" s="121" t="s">
        <v>1530</v>
      </c>
      <c r="E94" s="188"/>
      <c r="F94" s="182"/>
      <c r="G94" s="182"/>
      <c r="H94" s="188"/>
      <c r="I94" s="182"/>
      <c r="J94" s="182"/>
      <c r="K94" s="1"/>
    </row>
    <row r="95" spans="1:11" ht="43.5" customHeight="1">
      <c r="A95" s="30"/>
      <c r="B95" s="497"/>
      <c r="C95" s="122" t="s">
        <v>1532</v>
      </c>
      <c r="D95" s="121" t="s">
        <v>1533</v>
      </c>
      <c r="E95" s="188"/>
      <c r="F95" s="182"/>
      <c r="G95" s="182"/>
      <c r="H95" s="188"/>
      <c r="I95" s="182"/>
      <c r="J95" s="182"/>
      <c r="K95" s="1"/>
    </row>
    <row r="96" spans="1:11" ht="57" customHeight="1">
      <c r="A96" s="30"/>
      <c r="B96" s="123" t="s">
        <v>1534</v>
      </c>
      <c r="C96" s="122" t="s">
        <v>1535</v>
      </c>
      <c r="D96" s="121" t="s">
        <v>1536</v>
      </c>
      <c r="E96" s="188"/>
      <c r="F96" s="182"/>
      <c r="G96" s="182"/>
      <c r="H96" s="188"/>
      <c r="I96" s="182"/>
      <c r="J96" s="182"/>
      <c r="K96" s="1"/>
    </row>
    <row r="97" spans="1:11" ht="37.5" thickBot="1">
      <c r="A97" s="30"/>
      <c r="B97" s="124" t="s">
        <v>1537</v>
      </c>
      <c r="C97" s="125" t="s">
        <v>1538</v>
      </c>
      <c r="D97" s="126" t="s">
        <v>1539</v>
      </c>
      <c r="E97" s="189"/>
      <c r="F97" s="184"/>
      <c r="G97" s="184"/>
      <c r="H97" s="189"/>
      <c r="I97" s="184"/>
      <c r="J97" s="184"/>
      <c r="K97" s="1"/>
    </row>
    <row r="98" spans="1:11" ht="45" customHeight="1" thickTop="1">
      <c r="A98" s="1"/>
      <c r="B98" s="1"/>
      <c r="C98" s="1"/>
      <c r="D98" s="1"/>
      <c r="E98" s="187"/>
      <c r="F98" s="1"/>
      <c r="G98" s="1"/>
      <c r="H98" s="187"/>
      <c r="I98" s="1"/>
      <c r="J98" s="1"/>
      <c r="K98" s="1"/>
    </row>
  </sheetData>
  <mergeCells count="16">
    <mergeCell ref="B25:B26"/>
    <mergeCell ref="B88:B95"/>
    <mergeCell ref="B73:B87"/>
    <mergeCell ref="B67:B68"/>
    <mergeCell ref="B69:B72"/>
    <mergeCell ref="B64:B66"/>
    <mergeCell ref="B55:B63"/>
    <mergeCell ref="B50:B54"/>
    <mergeCell ref="B42:B49"/>
    <mergeCell ref="B29:B41"/>
    <mergeCell ref="B27:B28"/>
    <mergeCell ref="B1:M1"/>
    <mergeCell ref="H2:I2"/>
    <mergeCell ref="A4:A11"/>
    <mergeCell ref="B15:J15"/>
    <mergeCell ref="B17:B24"/>
  </mergeCells>
  <conditionalFormatting sqref="L4:L11">
    <cfRule type="containsText" dxfId="2" priority="1" operator="containsText" text="HIGH">
      <formula>NOT(ISERROR(SEARCH("HIGH",L4)))</formula>
    </cfRule>
    <cfRule type="containsText" dxfId="1" priority="2" operator="containsText" text="MEDIUM">
      <formula>NOT(ISERROR(SEARCH("MEDIUM",L4)))</formula>
    </cfRule>
    <cfRule type="containsText" dxfId="0" priority="3" operator="containsText" text="LOW">
      <formula>NOT(ISERROR(SEARCH("LOW",L4)))</formula>
    </cfRule>
  </conditionalFormatting>
  <dataValidations count="3">
    <dataValidation type="list" allowBlank="1" showInputMessage="1" showErrorMessage="1" sqref="E17:E97" xr:uid="{D4EF424B-E19D-4B50-8434-F80F2A863758}">
      <formula1>"Existing measure, Mandatory before Go Live - P0, Mandatory - P1, Complementary - P2,"</formula1>
    </dataValidation>
    <dataValidation type="list" allowBlank="1" showInputMessage="1" showErrorMessage="1" sqref="I17:I97" xr:uid="{EFEE91BE-6C8F-4965-B5E2-187E8D9295CA}">
      <formula1>"Done, In progress, Planned, Refused,"</formula1>
    </dataValidation>
    <dataValidation type="list" allowBlank="1" showInputMessage="1" showErrorMessage="1" sqref="M4:M11" xr:uid="{FE5F839E-FEDD-4AF6-9998-9989941DD0CF}">
      <formula1>Yes_No</formula1>
    </dataValidation>
  </dataValidations>
  <pageMargins left="0.7" right="0.7" top="0.75" bottom="0.75" header="0.3" footer="0.3"/>
  <pageSetup paperSize="9" scale="36" fitToHeight="0" orientation="landscape"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6F1A-9908-4DE8-AC45-1FA486A08EA6}">
  <dimension ref="A1:C44"/>
  <sheetViews>
    <sheetView workbookViewId="0">
      <selection activeCell="A21" sqref="A21"/>
    </sheetView>
  </sheetViews>
  <sheetFormatPr baseColWidth="10" defaultColWidth="11.453125" defaultRowHeight="14.5"/>
  <cols>
    <col min="1" max="1" width="17.453125" customWidth="1"/>
    <col min="3" max="3" width="20.54296875" customWidth="1"/>
  </cols>
  <sheetData>
    <row r="1" spans="1:3">
      <c r="A1" s="131" t="s">
        <v>1540</v>
      </c>
    </row>
    <row r="2" spans="1:3">
      <c r="A2" s="132">
        <v>1</v>
      </c>
    </row>
    <row r="3" spans="1:3">
      <c r="A3" s="132">
        <v>2</v>
      </c>
    </row>
    <row r="4" spans="1:3">
      <c r="A4" s="132">
        <v>3</v>
      </c>
    </row>
    <row r="5" spans="1:3">
      <c r="A5" s="132">
        <v>4</v>
      </c>
    </row>
    <row r="8" spans="1:3">
      <c r="A8" s="133" t="s">
        <v>1541</v>
      </c>
      <c r="C8" s="133" t="s">
        <v>1542</v>
      </c>
    </row>
    <row r="9" spans="1:3">
      <c r="A9" s="21" t="s">
        <v>1543</v>
      </c>
      <c r="C9" s="21" t="s">
        <v>1544</v>
      </c>
    </row>
    <row r="10" spans="1:3">
      <c r="A10" s="21" t="s">
        <v>1545</v>
      </c>
      <c r="C10" s="21" t="s">
        <v>1546</v>
      </c>
    </row>
    <row r="11" spans="1:3">
      <c r="A11" s="21" t="s">
        <v>1547</v>
      </c>
      <c r="C11" s="21" t="s">
        <v>1548</v>
      </c>
    </row>
    <row r="13" spans="1:3">
      <c r="A13" s="133" t="s">
        <v>1549</v>
      </c>
    </row>
    <row r="14" spans="1:3">
      <c r="A14" s="21" t="s">
        <v>1550</v>
      </c>
    </row>
    <row r="15" spans="1:3">
      <c r="A15" s="21" t="s">
        <v>1551</v>
      </c>
    </row>
    <row r="16" spans="1:3">
      <c r="A16" s="21" t="s">
        <v>1552</v>
      </c>
    </row>
    <row r="18" spans="1:1">
      <c r="A18" s="134" t="s">
        <v>1553</v>
      </c>
    </row>
    <row r="19" spans="1:1">
      <c r="A19" s="135" t="s">
        <v>1554</v>
      </c>
    </row>
    <row r="20" spans="1:1">
      <c r="A20" s="135" t="s">
        <v>1555</v>
      </c>
    </row>
    <row r="21" spans="1:1">
      <c r="A21" s="135" t="s">
        <v>1556</v>
      </c>
    </row>
    <row r="23" spans="1:1">
      <c r="A23" s="136" t="s">
        <v>1557</v>
      </c>
    </row>
    <row r="24" spans="1:1">
      <c r="A24" s="137" t="s">
        <v>1554</v>
      </c>
    </row>
    <row r="25" spans="1:1">
      <c r="A25" s="137" t="s">
        <v>1555</v>
      </c>
    </row>
    <row r="26" spans="1:1">
      <c r="A26" s="137" t="s">
        <v>1556</v>
      </c>
    </row>
    <row r="28" spans="1:1">
      <c r="A28" s="138" t="s">
        <v>1558</v>
      </c>
    </row>
    <row r="29" spans="1:1">
      <c r="A29" s="139">
        <v>1</v>
      </c>
    </row>
    <row r="30" spans="1:1">
      <c r="A30" s="139">
        <v>2</v>
      </c>
    </row>
    <row r="31" spans="1:1">
      <c r="A31" s="139">
        <v>3</v>
      </c>
    </row>
    <row r="32" spans="1:1">
      <c r="A32" s="139">
        <v>4</v>
      </c>
    </row>
    <row r="34" spans="1:1">
      <c r="A34" s="138" t="s">
        <v>1559</v>
      </c>
    </row>
    <row r="35" spans="1:1">
      <c r="A35" s="139" t="s">
        <v>1560</v>
      </c>
    </row>
    <row r="36" spans="1:1">
      <c r="A36" s="139" t="s">
        <v>1561</v>
      </c>
    </row>
    <row r="38" spans="1:1">
      <c r="A38" s="138" t="s">
        <v>1562</v>
      </c>
    </row>
    <row r="39" spans="1:1">
      <c r="A39" s="139" t="s">
        <v>50</v>
      </c>
    </row>
    <row r="40" spans="1:1">
      <c r="A40" s="139" t="s">
        <v>1561</v>
      </c>
    </row>
    <row r="42" spans="1:1">
      <c r="A42" s="138" t="s">
        <v>465</v>
      </c>
    </row>
    <row r="43" spans="1:1">
      <c r="A43" s="139" t="s">
        <v>1563</v>
      </c>
    </row>
    <row r="44" spans="1:1">
      <c r="A44" s="139" t="s">
        <v>1561</v>
      </c>
    </row>
  </sheetData>
  <sheetProtection algorithmName="SHA-512" hashValue="dVtkl06UhncyDR/AJDlBSoLKzk+T/R951DUZ44Sa8BBq/qPA/4sipAxjSWYHLmx7awF45VfezF5j+KR9Xugs2A==" saltValue="BeqPhpZ+4Yd7ovHBUWJsl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2ca79a0-0e32-46a3-b7b2-2ff476cc9eb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57764115F3974E806D920D08C50D56" ma:contentTypeVersion="11" ma:contentTypeDescription="Create a new document." ma:contentTypeScope="" ma:versionID="943db80c52a1f77a9a0ebd62f958671c">
  <xsd:schema xmlns:xsd="http://www.w3.org/2001/XMLSchema" xmlns:xs="http://www.w3.org/2001/XMLSchema" xmlns:p="http://schemas.microsoft.com/office/2006/metadata/properties" xmlns:ns2="42ca79a0-0e32-46a3-b7b2-2ff476cc9eb9" targetNamespace="http://schemas.microsoft.com/office/2006/metadata/properties" ma:root="true" ma:fieldsID="edf468c7ee78724fd5ddb0425400b670" ns2:_="">
    <xsd:import namespace="42ca79a0-0e32-46a3-b7b2-2ff476cc9e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a79a0-0e32-46a3-b7b2-2ff476cc9e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c0523b1-fe37-4c7b-9646-129beaa68e2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0346ED-1232-4A2D-B12D-86AAAC8AC964}">
  <ds:schemaRefs>
    <ds:schemaRef ds:uri="42ca79a0-0e32-46a3-b7b2-2ff476cc9eb9"/>
    <ds:schemaRef ds:uri="http://purl.org/dc/dcmitype/"/>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C147213-CEFC-4965-B47B-C7F4268E5FDB}">
  <ds:schemaRefs>
    <ds:schemaRef ds:uri="http://schemas.microsoft.com/sharepoint/v3/contenttype/forms"/>
  </ds:schemaRefs>
</ds:datastoreItem>
</file>

<file path=customXml/itemProps3.xml><?xml version="1.0" encoding="utf-8"?>
<ds:datastoreItem xmlns:ds="http://schemas.openxmlformats.org/officeDocument/2006/customXml" ds:itemID="{59F8802F-D2DE-46CB-A0DA-789B685DFD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0 - Home</vt:lpstr>
      <vt:lpstr>1 - General description</vt:lpstr>
      <vt:lpstr>2 - Qualification</vt:lpstr>
      <vt:lpstr>3 - 3rd Party Security Policy</vt:lpstr>
      <vt:lpstr>4 - 3rd Party Assessment </vt:lpstr>
      <vt:lpstr>5 - Risk Assessment</vt:lpstr>
      <vt:lpstr>Paramètres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PRUNAC Romain</dc:creator>
  <cp:keywords/>
  <dc:description/>
  <cp:lastModifiedBy>BLAISE Paul</cp:lastModifiedBy>
  <cp:revision/>
  <dcterms:created xsi:type="dcterms:W3CDTF">2015-06-05T18:17:20Z</dcterms:created>
  <dcterms:modified xsi:type="dcterms:W3CDTF">2026-01-09T15:48:04Z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0x0101004657764115F3974E806D920D08C50D56</vt:lpwstr>
  </property>
  <property fmtid="{D5CDD505-2E9C-101B-9397-08002B2CF9AE}" pid="3" name="MediaServiceImageTags">
    <vt:lpwstr/>
  </property>
  <property fmtid="{D5CDD505-2E9C-101B-9397-08002B2CF9AE}" pid="4" name="_ExtendedDescription">
    <vt:lpwstr/>
  </property>
  <property fmtid="{D5CDD505-2E9C-101B-9397-08002B2CF9AE}" pid="5" name="xd_ProgID">
    <vt:lpwstr/>
  </property>
  <property fmtid="{D5CDD505-2E9C-101B-9397-08002B2CF9AE}" pid="6" name="Hyperlink">
    <vt:lpwstr>, </vt:lpwstr>
  </property>
  <property fmtid="{D5CDD505-2E9C-101B-9397-08002B2CF9AE}" pid="7" name="ComplianceAssetId">
    <vt:lpwstr/>
  </property>
  <property fmtid="{D5CDD505-2E9C-101B-9397-08002B2CF9AE}" pid="8" name="TemplateUrl">
    <vt:lpwstr/>
  </property>
  <property fmtid="{D5CDD505-2E9C-101B-9397-08002B2CF9AE}" pid="9" name="TriggerFlowInfo">
    <vt:lpwstr/>
  </property>
  <property fmtid="{D5CDD505-2E9C-101B-9397-08002B2CF9AE}" pid="10" name="xd_Signature">
    <vt:bool>false</vt:bool>
  </property>
</Properties>
</file>